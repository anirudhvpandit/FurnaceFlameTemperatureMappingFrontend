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2"/>
  <workbookPr/>
  <mc:AlternateContent xmlns:mc="http://schemas.openxmlformats.org/markup-compatibility/2006">
    <mc:Choice Requires="x15">
      <x15ac:absPath xmlns:x15ac="http://schemas.microsoft.com/office/spreadsheetml/2010/11/ac" url="/Users/anirudh/FurnaceFlameTemperatureMappingFrontend/FurnaceFlameTemperatureMappingFrontend/public/"/>
    </mc:Choice>
  </mc:AlternateContent>
  <xr:revisionPtr revIDLastSave="0" documentId="13_ncr:1_{BF57D845-9AAB-9341-B8EC-20F18AFF0331}" xr6:coauthVersionLast="47" xr6:coauthVersionMax="47" xr10:uidLastSave="{00000000-0000-0000-0000-000000000000}"/>
  <bookViews>
    <workbookView xWindow="0" yWindow="680" windowWidth="23260" windowHeight="12460" xr2:uid="{00000000-000D-0000-FFFF-FFFF00000000}"/>
  </bookViews>
  <sheets>
    <sheet name="18.03.26" sheetId="115" r:id="rId1"/>
  </sheets>
  <definedNames>
    <definedName name="_xlnm.Print_Area" localSheetId="0">'18.03.26'!$A$1:$G$32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115" l="1"/>
  <c r="F15" i="115"/>
  <c r="F14" i="115"/>
  <c r="F13" i="115"/>
  <c r="F12" i="115"/>
  <c r="F11" i="115"/>
  <c r="F10" i="115"/>
  <c r="F9" i="115"/>
  <c r="F8" i="115"/>
</calcChain>
</file>

<file path=xl/sharedStrings.xml><?xml version="1.0" encoding="utf-8"?>
<sst xmlns="http://schemas.openxmlformats.org/spreadsheetml/2006/main" count="92" uniqueCount="62">
  <si>
    <t xml:space="preserve">Coal Mills in Service : </t>
  </si>
  <si>
    <t xml:space="preserve">Oil Guns in Service : </t>
  </si>
  <si>
    <r>
      <rPr>
        <b/>
        <sz val="10"/>
        <rFont val="Arial"/>
        <family val="2"/>
      </rPr>
      <t xml:space="preserve">( Flame Temp. in 0C - </t>
    </r>
    <r>
      <rPr>
        <b/>
        <i/>
        <sz val="10"/>
        <color indexed="10"/>
        <rFont val="Arial"/>
        <family val="2"/>
      </rPr>
      <t>Average</t>
    </r>
    <r>
      <rPr>
        <b/>
        <sz val="10"/>
        <rFont val="Arial"/>
        <family val="2"/>
      </rPr>
      <t xml:space="preserve"> )</t>
    </r>
    <r>
      <rPr>
        <sz val="10"/>
        <rFont val="Arial"/>
        <family val="2"/>
      </rPr>
      <t xml:space="preserve"> Instrument Used : Chino Infrared Thermometer - Model - IR HASNE</t>
    </r>
  </si>
  <si>
    <t>ELEVATION</t>
  </si>
  <si>
    <t>CORNER 1</t>
  </si>
  <si>
    <t>CORNER 2</t>
  </si>
  <si>
    <t>CORNER 3</t>
  </si>
  <si>
    <t>CORNER 4</t>
  </si>
  <si>
    <t>AVERAGE</t>
  </si>
  <si>
    <t xml:space="preserve">Boiler &amp; Mill Parameters : </t>
  </si>
  <si>
    <r>
      <t>Main Steam Pressure (Kg/cm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) :</t>
    </r>
  </si>
  <si>
    <t xml:space="preserve">Main Steam Flow (TPH) :     </t>
  </si>
  <si>
    <t xml:space="preserve">Superheat Spray (TPH) :  </t>
  </si>
  <si>
    <t xml:space="preserve">Re-heat Spray (TPH) : </t>
  </si>
  <si>
    <r>
      <t xml:space="preserve">FG Temp after RH (L/R )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 xml:space="preserve">C : </t>
    </r>
    <r>
      <rPr>
        <vertAlign val="superscript"/>
        <sz val="10"/>
        <rFont val="Arial"/>
        <family val="2"/>
      </rPr>
      <t/>
    </r>
  </si>
  <si>
    <r>
      <t>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 at APH Inlet (PCR) %</t>
    </r>
  </si>
  <si>
    <t>Wind Box DP - A / B (mmwcl) :</t>
  </si>
  <si>
    <r>
      <t xml:space="preserve">FG Temp after Economizer (L/R) 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 :</t>
    </r>
  </si>
  <si>
    <r>
      <t xml:space="preserve">FG Temp after APH (L/R) 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 :</t>
    </r>
  </si>
  <si>
    <t>Coal Mill - A</t>
  </si>
  <si>
    <t>Coal Mill - B</t>
  </si>
  <si>
    <t>Coal Mill - C</t>
  </si>
  <si>
    <t>Coal Mill - D</t>
  </si>
  <si>
    <t>Coal Mill - E</t>
  </si>
  <si>
    <t>Coal Mill - F</t>
  </si>
  <si>
    <t xml:space="preserve">Coal Flow (TPH) </t>
  </si>
  <si>
    <t>PA Flow (TPH)</t>
  </si>
  <si>
    <t>Mill DP (mmwcl)</t>
  </si>
  <si>
    <r>
      <t>Mill Outlet Temp (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C)</t>
    </r>
  </si>
  <si>
    <t>Mill Current (Amp)</t>
  </si>
  <si>
    <t>CD / 27.8 M</t>
  </si>
  <si>
    <t>EF / 31.4 M</t>
  </si>
  <si>
    <t>GH / 35.0 M</t>
  </si>
  <si>
    <t>38.65 M</t>
  </si>
  <si>
    <t>42.2 M</t>
  </si>
  <si>
    <t>46.2 M</t>
  </si>
  <si>
    <t>49.2 M</t>
  </si>
  <si>
    <t>AB / 24.2 M</t>
  </si>
  <si>
    <t>Coal Mill - G</t>
  </si>
  <si>
    <t>Coal Mill - H</t>
  </si>
  <si>
    <t xml:space="preserve">FG Temp after DPSH (L/R ) 0C : </t>
  </si>
  <si>
    <r>
      <t xml:space="preserve">FG Temp after PSH (L/R )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 xml:space="preserve">C : </t>
    </r>
  </si>
  <si>
    <t>58.4 M</t>
  </si>
  <si>
    <r>
      <t xml:space="preserve">FG Temp after HSH (L/R)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 :</t>
    </r>
  </si>
  <si>
    <t xml:space="preserve"> </t>
  </si>
  <si>
    <t>FURNACE FLAME TEMPERATURE MAPPING</t>
  </si>
  <si>
    <t>L</t>
  </si>
  <si>
    <t>R</t>
  </si>
  <si>
    <t>Total PA flow (TPH)</t>
  </si>
  <si>
    <t>Coal Mill Parameters : -</t>
  </si>
  <si>
    <t>COAL MILLS</t>
  </si>
  <si>
    <t>ABDEFG</t>
  </si>
  <si>
    <t>Total Air flow (TPH) :-                                      1602</t>
  </si>
  <si>
    <t xml:space="preserve">Load (MW) : -              </t>
  </si>
  <si>
    <t>Total Coal flow (TPH) :-                                     353</t>
  </si>
  <si>
    <t>Burner Tilt Position (Deg) :-                      10,27,24,17</t>
  </si>
  <si>
    <r>
      <t xml:space="preserve">NOTE:- </t>
    </r>
    <r>
      <rPr>
        <b/>
        <sz val="9"/>
        <color theme="7" tint="0.39997558519241921"/>
        <rFont val="Arial"/>
        <family val="2"/>
      </rPr>
      <t xml:space="preserve">YELLOW </t>
    </r>
    <r>
      <rPr>
        <b/>
        <sz val="9"/>
        <rFont val="Arial"/>
        <family val="2"/>
      </rPr>
      <t xml:space="preserve"> FOR HIGHER TEMPERATURE AND </t>
    </r>
    <r>
      <rPr>
        <b/>
        <sz val="9"/>
        <color rgb="FF00B050"/>
        <rFont val="Arial"/>
        <family val="2"/>
      </rPr>
      <t>GREEN</t>
    </r>
    <r>
      <rPr>
        <b/>
        <sz val="9"/>
        <rFont val="Arial"/>
        <family val="2"/>
      </rPr>
      <t xml:space="preserve">  FOR LOWER TEMPERATURE</t>
    </r>
  </si>
  <si>
    <t>Date :- 18/03/2026</t>
  </si>
  <si>
    <t>Time :-  9:00</t>
  </si>
  <si>
    <t>34,32,31,34</t>
  </si>
  <si>
    <t>BSL</t>
  </si>
  <si>
    <t>Unit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</si>
</sst>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i/>
      <sz val="10"/>
      <color indexed="10"/>
      <name val="Arial"/>
      <family val="2"/>
    </font>
    <font>
      <sz val="9"/>
      <name val="Arial"/>
      <family val="2"/>
    </font>
    <font>
      <vertAlign val="superscript"/>
      <sz val="10"/>
      <name val="Arial"/>
      <family val="2"/>
    </font>
    <font>
      <vertAlign val="subscript"/>
      <sz val="10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b/>
      <sz val="11"/>
      <color rgb="FF0000FF"/>
      <name val="Arial"/>
      <family val="2"/>
    </font>
    <font>
      <b/>
      <sz val="9"/>
      <name val="Arial"/>
      <family val="2"/>
    </font>
    <font>
      <b/>
      <sz val="9"/>
      <color rgb="FF00B050"/>
      <name val="Arial"/>
      <family val="2"/>
    </font>
    <font>
      <b/>
      <sz val="9"/>
      <color theme="7" tint="0.3999755851924192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</cellStyleXfs>
  <cellXfs count="128">
    <xf numFmtId="0" fontId="0" fillId="0" borderId="0" xfId="0"/>
    <xf numFmtId="0" fontId="2" fillId="0" borderId="1" xfId="2" applyBorder="1" applyAlignment="1">
      <alignment horizontal="center" vertical="center"/>
    </xf>
    <xf numFmtId="0" fontId="2" fillId="0" borderId="1" xfId="3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/>
    </xf>
    <xf numFmtId="0" fontId="2" fillId="0" borderId="1" xfId="3" applyBorder="1" applyAlignment="1">
      <alignment vertical="center"/>
    </xf>
    <xf numFmtId="0" fontId="2" fillId="0" borderId="4" xfId="2" applyBorder="1" applyAlignment="1">
      <alignment horizontal="left"/>
    </xf>
    <xf numFmtId="0" fontId="2" fillId="0" borderId="5" xfId="2" applyBorder="1" applyAlignment="1">
      <alignment horizontal="center" vertical="center"/>
    </xf>
    <xf numFmtId="0" fontId="2" fillId="0" borderId="6" xfId="2" applyBorder="1" applyAlignment="1">
      <alignment horizontal="center" vertical="center"/>
    </xf>
    <xf numFmtId="0" fontId="2" fillId="0" borderId="2" xfId="2" applyBorder="1" applyAlignment="1">
      <alignment vertical="center" wrapText="1"/>
    </xf>
    <xf numFmtId="0" fontId="2" fillId="0" borderId="2" xfId="2" applyBorder="1" applyAlignment="1">
      <alignment vertical="center"/>
    </xf>
    <xf numFmtId="0" fontId="2" fillId="0" borderId="7" xfId="2" applyBorder="1" applyAlignment="1">
      <alignment vertical="center"/>
    </xf>
    <xf numFmtId="0" fontId="2" fillId="0" borderId="8" xfId="2" applyBorder="1" applyAlignment="1">
      <alignment horizontal="center" vertical="center"/>
    </xf>
    <xf numFmtId="0" fontId="2" fillId="0" borderId="0" xfId="2"/>
    <xf numFmtId="0" fontId="4" fillId="0" borderId="13" xfId="3" applyFont="1" applyBorder="1" applyAlignment="1">
      <alignment vertical="center"/>
    </xf>
    <xf numFmtId="0" fontId="2" fillId="0" borderId="3" xfId="2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0" xfId="4" applyNumberFormat="1" applyFont="1" applyAlignment="1">
      <alignment vertical="center" wrapText="1"/>
    </xf>
    <xf numFmtId="0" fontId="9" fillId="0" borderId="0" xfId="5" applyFont="1"/>
    <xf numFmtId="2" fontId="9" fillId="0" borderId="0" xfId="5" applyNumberFormat="1" applyFont="1" applyAlignment="1">
      <alignment horizontal="center" vertical="center" wrapText="1"/>
    </xf>
    <xf numFmtId="0" fontId="2" fillId="0" borderId="0" xfId="5"/>
    <xf numFmtId="0" fontId="4" fillId="0" borderId="1" xfId="3" applyFont="1" applyBorder="1" applyAlignment="1">
      <alignment horizontal="center" vertical="center"/>
    </xf>
    <xf numFmtId="164" fontId="2" fillId="0" borderId="2" xfId="2" applyNumberFormat="1" applyBorder="1" applyAlignment="1">
      <alignment horizontal="center" vertical="center"/>
    </xf>
    <xf numFmtId="164" fontId="6" fillId="0" borderId="2" xfId="3" applyNumberFormat="1" applyFont="1" applyBorder="1" applyAlignment="1">
      <alignment horizontal="center" vertical="center" wrapText="1"/>
    </xf>
    <xf numFmtId="164" fontId="6" fillId="0" borderId="2" xfId="3" applyNumberFormat="1" applyFont="1" applyBorder="1" applyAlignment="1">
      <alignment horizontal="center" vertical="center"/>
    </xf>
    <xf numFmtId="0" fontId="2" fillId="0" borderId="3" xfId="1" applyNumberFormat="1" applyFont="1" applyFill="1" applyBorder="1" applyAlignment="1">
      <alignment horizontal="center" vertical="center"/>
    </xf>
    <xf numFmtId="0" fontId="2" fillId="0" borderId="9" xfId="2" applyBorder="1" applyAlignment="1">
      <alignment horizontal="center" vertical="center"/>
    </xf>
    <xf numFmtId="0" fontId="2" fillId="0" borderId="1" xfId="2" applyBorder="1" applyAlignment="1">
      <alignment horizontal="center" vertical="center" wrapText="1"/>
    </xf>
    <xf numFmtId="0" fontId="2" fillId="0" borderId="2" xfId="2" applyBorder="1" applyAlignment="1">
      <alignment horizontal="center" vertical="center"/>
    </xf>
    <xf numFmtId="1" fontId="2" fillId="0" borderId="0" xfId="2" applyNumberFormat="1" applyAlignment="1">
      <alignment horizontal="center"/>
    </xf>
    <xf numFmtId="0" fontId="2" fillId="0" borderId="15" xfId="3" applyBorder="1" applyAlignment="1">
      <alignment horizontal="center" vertical="center"/>
    </xf>
    <xf numFmtId="0" fontId="2" fillId="0" borderId="37" xfId="3" applyBorder="1" applyAlignment="1">
      <alignment vertical="center"/>
    </xf>
    <xf numFmtId="0" fontId="2" fillId="0" borderId="11" xfId="3" applyBorder="1" applyAlignment="1">
      <alignment vertical="center"/>
    </xf>
    <xf numFmtId="0" fontId="2" fillId="0" borderId="12" xfId="3" applyBorder="1" applyAlignment="1">
      <alignment vertical="center"/>
    </xf>
    <xf numFmtId="0" fontId="4" fillId="0" borderId="34" xfId="2" applyFont="1" applyBorder="1" applyAlignment="1">
      <alignment horizontal="center"/>
    </xf>
    <xf numFmtId="0" fontId="4" fillId="0" borderId="36" xfId="2" applyFont="1" applyBorder="1" applyAlignment="1">
      <alignment horizontal="center"/>
    </xf>
    <xf numFmtId="0" fontId="4" fillId="0" borderId="17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22" xfId="2" applyFont="1" applyBorder="1" applyAlignment="1">
      <alignment horizontal="left" vertical="center"/>
    </xf>
    <xf numFmtId="0" fontId="2" fillId="0" borderId="23" xfId="2" applyBorder="1" applyAlignment="1">
      <alignment horizontal="left" vertical="center"/>
    </xf>
    <xf numFmtId="0" fontId="4" fillId="0" borderId="28" xfId="2" applyFont="1" applyBorder="1" applyAlignment="1">
      <alignment horizontal="center"/>
    </xf>
    <xf numFmtId="0" fontId="4" fillId="0" borderId="25" xfId="2" applyFont="1" applyBorder="1" applyAlignment="1">
      <alignment horizontal="center"/>
    </xf>
    <xf numFmtId="0" fontId="2" fillId="0" borderId="23" xfId="2" applyBorder="1" applyAlignment="1">
      <alignment vertical="center"/>
    </xf>
    <xf numFmtId="164" fontId="6" fillId="0" borderId="4" xfId="3" applyNumberFormat="1" applyFont="1" applyBorder="1" applyAlignment="1">
      <alignment horizontal="center" vertical="center"/>
    </xf>
    <xf numFmtId="164" fontId="2" fillId="0" borderId="7" xfId="2" applyNumberFormat="1" applyBorder="1" applyAlignment="1">
      <alignment horizontal="center" vertical="center"/>
    </xf>
    <xf numFmtId="0" fontId="2" fillId="0" borderId="4" xfId="2" applyBorder="1" applyAlignment="1">
      <alignment horizontal="center" vertical="center"/>
    </xf>
    <xf numFmtId="0" fontId="4" fillId="0" borderId="14" xfId="3" applyFont="1" applyBorder="1" applyAlignment="1">
      <alignment horizontal="center" vertical="center"/>
    </xf>
    <xf numFmtId="0" fontId="4" fillId="0" borderId="46" xfId="3" applyFont="1" applyBorder="1" applyAlignment="1">
      <alignment vertical="center"/>
    </xf>
    <xf numFmtId="0" fontId="4" fillId="0" borderId="47" xfId="3" applyFont="1" applyBorder="1" applyAlignment="1">
      <alignment horizontal="center" vertical="center"/>
    </xf>
    <xf numFmtId="0" fontId="4" fillId="0" borderId="48" xfId="3" applyFont="1" applyBorder="1" applyAlignment="1">
      <alignment vertical="center"/>
    </xf>
    <xf numFmtId="0" fontId="3" fillId="0" borderId="28" xfId="2" applyFont="1" applyBorder="1" applyAlignment="1">
      <alignment horizontal="center" vertical="center"/>
    </xf>
    <xf numFmtId="0" fontId="3" fillId="0" borderId="24" xfId="2" applyFont="1" applyBorder="1" applyAlignment="1">
      <alignment horizontal="center" vertical="center"/>
    </xf>
    <xf numFmtId="0" fontId="3" fillId="0" borderId="33" xfId="2" applyFont="1" applyBorder="1" applyAlignment="1">
      <alignment horizontal="center" vertical="center"/>
    </xf>
    <xf numFmtId="0" fontId="3" fillId="0" borderId="32" xfId="2" applyFont="1" applyBorder="1" applyAlignment="1">
      <alignment horizontal="left" vertical="center"/>
    </xf>
    <xf numFmtId="0" fontId="3" fillId="0" borderId="24" xfId="2" applyFont="1" applyBorder="1" applyAlignment="1">
      <alignment horizontal="left" vertical="center"/>
    </xf>
    <xf numFmtId="0" fontId="3" fillId="0" borderId="33" xfId="2" applyFont="1" applyBorder="1" applyAlignment="1">
      <alignment horizontal="left" vertical="center"/>
    </xf>
    <xf numFmtId="0" fontId="3" fillId="0" borderId="25" xfId="2" applyFont="1" applyBorder="1" applyAlignment="1">
      <alignment horizontal="left" vertical="center"/>
    </xf>
    <xf numFmtId="0" fontId="4" fillId="0" borderId="29" xfId="3" applyFont="1" applyBorder="1" applyAlignment="1">
      <alignment horizontal="left" vertical="center"/>
    </xf>
    <xf numFmtId="0" fontId="4" fillId="0" borderId="30" xfId="3" applyFont="1" applyBorder="1" applyAlignment="1">
      <alignment horizontal="left" vertical="center"/>
    </xf>
    <xf numFmtId="0" fontId="4" fillId="0" borderId="31" xfId="3" applyFont="1" applyBorder="1" applyAlignment="1">
      <alignment horizontal="left" vertical="center"/>
    </xf>
    <xf numFmtId="0" fontId="4" fillId="0" borderId="20" xfId="3" applyFont="1" applyBorder="1" applyAlignment="1">
      <alignment horizontal="left" vertical="center"/>
    </xf>
    <xf numFmtId="0" fontId="4" fillId="0" borderId="0" xfId="3" applyFont="1" applyAlignment="1">
      <alignment horizontal="left" vertical="center"/>
    </xf>
    <xf numFmtId="0" fontId="4" fillId="0" borderId="21" xfId="3" applyFont="1" applyBorder="1" applyAlignment="1">
      <alignment horizontal="left" vertical="center"/>
    </xf>
    <xf numFmtId="0" fontId="4" fillId="0" borderId="50" xfId="2" applyFont="1" applyBorder="1" applyAlignment="1">
      <alignment horizontal="center" vertical="center"/>
    </xf>
    <xf numFmtId="0" fontId="4" fillId="0" borderId="36" xfId="2" applyFont="1" applyBorder="1" applyAlignment="1">
      <alignment horizontal="center" vertical="center"/>
    </xf>
    <xf numFmtId="0" fontId="4" fillId="0" borderId="28" xfId="2" applyFont="1" applyBorder="1" applyAlignment="1">
      <alignment horizontal="center" vertical="center"/>
    </xf>
    <xf numFmtId="0" fontId="4" fillId="0" borderId="25" xfId="2" applyFont="1" applyBorder="1" applyAlignment="1">
      <alignment horizontal="center" vertical="center"/>
    </xf>
    <xf numFmtId="0" fontId="2" fillId="0" borderId="26" xfId="3" applyBorder="1" applyAlignment="1">
      <alignment horizontal="left" vertical="center"/>
    </xf>
    <xf numFmtId="0" fontId="2" fillId="0" borderId="27" xfId="3" applyBorder="1" applyAlignment="1">
      <alignment horizontal="left" vertical="center"/>
    </xf>
    <xf numFmtId="0" fontId="2" fillId="0" borderId="32" xfId="2" applyBorder="1" applyAlignment="1">
      <alignment horizontal="center" vertical="center"/>
    </xf>
    <xf numFmtId="0" fontId="2" fillId="0" borderId="25" xfId="2" applyBorder="1" applyAlignment="1">
      <alignment horizontal="center" vertical="center"/>
    </xf>
    <xf numFmtId="0" fontId="10" fillId="0" borderId="34" xfId="2" applyFont="1" applyBorder="1" applyAlignment="1">
      <alignment horizontal="left" vertical="center"/>
    </xf>
    <xf numFmtId="0" fontId="10" fillId="0" borderId="35" xfId="2" applyFont="1" applyBorder="1" applyAlignment="1">
      <alignment horizontal="left" vertical="center"/>
    </xf>
    <xf numFmtId="0" fontId="10" fillId="0" borderId="36" xfId="2" applyFont="1" applyBorder="1" applyAlignment="1">
      <alignment horizontal="left" vertical="center"/>
    </xf>
    <xf numFmtId="0" fontId="2" fillId="0" borderId="2" xfId="3" applyBorder="1" applyAlignment="1">
      <alignment vertical="center"/>
    </xf>
    <xf numFmtId="0" fontId="2" fillId="0" borderId="2" xfId="3" applyBorder="1" applyAlignment="1">
      <alignment horizontal="left" vertical="center"/>
    </xf>
    <xf numFmtId="0" fontId="2" fillId="0" borderId="1" xfId="3" applyBorder="1" applyAlignment="1">
      <alignment horizontal="left" vertical="center"/>
    </xf>
    <xf numFmtId="0" fontId="2" fillId="0" borderId="7" xfId="3" applyBorder="1" applyAlignment="1">
      <alignment vertical="center"/>
    </xf>
    <xf numFmtId="0" fontId="2" fillId="0" borderId="8" xfId="3" applyBorder="1" applyAlignment="1">
      <alignment vertical="center"/>
    </xf>
    <xf numFmtId="0" fontId="6" fillId="3" borderId="5" xfId="3" applyFont="1" applyFill="1" applyBorder="1" applyAlignment="1">
      <alignment horizontal="center" vertical="center"/>
    </xf>
    <xf numFmtId="0" fontId="6" fillId="3" borderId="1" xfId="3" applyFont="1" applyFill="1" applyBorder="1" applyAlignment="1">
      <alignment horizontal="center" vertical="center"/>
    </xf>
    <xf numFmtId="0" fontId="6" fillId="3" borderId="8" xfId="3" applyFont="1" applyFill="1" applyBorder="1" applyAlignment="1">
      <alignment horizontal="center" vertical="center"/>
    </xf>
    <xf numFmtId="0" fontId="6" fillId="2" borderId="1" xfId="3" applyFont="1" applyFill="1" applyBorder="1" applyAlignment="1">
      <alignment horizontal="center" vertical="center"/>
    </xf>
    <xf numFmtId="0" fontId="6" fillId="2" borderId="8" xfId="3" applyFont="1" applyFill="1" applyBorder="1" applyAlignment="1">
      <alignment horizontal="center" vertical="center"/>
    </xf>
    <xf numFmtId="0" fontId="6" fillId="4" borderId="5" xfId="3" applyFont="1" applyFill="1" applyBorder="1" applyAlignment="1">
      <alignment horizontal="center" vertical="center"/>
    </xf>
    <xf numFmtId="0" fontId="6" fillId="4" borderId="1" xfId="3" applyFont="1" applyFill="1" applyBorder="1" applyAlignment="1">
      <alignment horizontal="center" vertical="center"/>
    </xf>
    <xf numFmtId="0" fontId="6" fillId="4" borderId="1" xfId="3" applyFont="1" applyFill="1" applyBorder="1" applyAlignment="1">
      <alignment horizontal="center" vertical="center" wrapText="1"/>
    </xf>
    <xf numFmtId="0" fontId="6" fillId="4" borderId="8" xfId="3" applyFont="1" applyFill="1" applyBorder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5" xfId="3" applyFont="1" applyFill="1" applyBorder="1" applyAlignment="1">
      <alignment horizontal="center" vertical="center" wrapText="1"/>
    </xf>
    <xf numFmtId="0" fontId="2" fillId="0" borderId="42" xfId="3" applyBorder="1" applyAlignment="1">
      <alignment horizontal="center" vertical="center"/>
    </xf>
    <xf numFmtId="0" fontId="2" fillId="0" borderId="43" xfId="3" applyBorder="1" applyAlignment="1">
      <alignment horizontal="center" vertical="center"/>
    </xf>
    <xf numFmtId="0" fontId="2" fillId="0" borderId="44" xfId="3" applyBorder="1" applyAlignment="1">
      <alignment horizontal="center" vertical="center"/>
    </xf>
    <xf numFmtId="0" fontId="2" fillId="0" borderId="32" xfId="3" applyBorder="1" applyAlignment="1">
      <alignment horizontal="center" vertical="center"/>
    </xf>
    <xf numFmtId="0" fontId="2" fillId="0" borderId="24" xfId="3" applyBorder="1" applyAlignment="1">
      <alignment horizontal="center" vertical="center"/>
    </xf>
    <xf numFmtId="0" fontId="2" fillId="0" borderId="25" xfId="3" applyBorder="1" applyAlignment="1">
      <alignment horizontal="center" vertical="center"/>
    </xf>
    <xf numFmtId="0" fontId="2" fillId="0" borderId="45" xfId="2" applyBorder="1" applyAlignment="1">
      <alignment horizontal="center" vertical="center"/>
    </xf>
    <xf numFmtId="0" fontId="2" fillId="0" borderId="22" xfId="2" applyBorder="1" applyAlignment="1">
      <alignment horizontal="center" vertical="center"/>
    </xf>
    <xf numFmtId="0" fontId="2" fillId="0" borderId="18" xfId="2" applyBorder="1" applyAlignment="1">
      <alignment horizontal="center" vertical="center"/>
    </xf>
    <xf numFmtId="0" fontId="2" fillId="0" borderId="41" xfId="2" applyBorder="1" applyAlignment="1">
      <alignment horizontal="center" vertical="center"/>
    </xf>
    <xf numFmtId="0" fontId="2" fillId="0" borderId="19" xfId="3" applyBorder="1" applyAlignment="1">
      <alignment horizontal="center" vertical="center"/>
    </xf>
    <xf numFmtId="0" fontId="2" fillId="0" borderId="39" xfId="3" applyBorder="1" applyAlignment="1">
      <alignment horizontal="center" vertical="center"/>
    </xf>
    <xf numFmtId="1" fontId="11" fillId="4" borderId="15" xfId="2" applyNumberFormat="1" applyFont="1" applyFill="1" applyBorder="1" applyAlignment="1">
      <alignment horizontal="center" vertical="center"/>
    </xf>
    <xf numFmtId="1" fontId="11" fillId="4" borderId="16" xfId="2" applyNumberFormat="1" applyFont="1" applyFill="1" applyBorder="1" applyAlignment="1">
      <alignment horizontal="center" vertical="center"/>
    </xf>
    <xf numFmtId="0" fontId="2" fillId="0" borderId="52" xfId="2" applyBorder="1" applyAlignment="1">
      <alignment horizontal="center" vertical="center"/>
    </xf>
    <xf numFmtId="0" fontId="2" fillId="0" borderId="21" xfId="2" applyBorder="1" applyAlignment="1">
      <alignment horizontal="center" vertical="center"/>
    </xf>
    <xf numFmtId="1" fontId="11" fillId="4" borderId="19" xfId="2" applyNumberFormat="1" applyFont="1" applyFill="1" applyBorder="1" applyAlignment="1">
      <alignment horizontal="center" vertical="center"/>
    </xf>
    <xf numFmtId="1" fontId="11" fillId="4" borderId="49" xfId="2" applyNumberFormat="1" applyFont="1" applyFill="1" applyBorder="1" applyAlignment="1">
      <alignment horizontal="center" vertical="center"/>
    </xf>
    <xf numFmtId="0" fontId="2" fillId="0" borderId="28" xfId="2" applyBorder="1" applyAlignment="1">
      <alignment horizontal="center" vertical="center"/>
    </xf>
    <xf numFmtId="0" fontId="2" fillId="0" borderId="25" xfId="2" applyBorder="1" applyAlignment="1">
      <alignment horizontal="center" vertical="center"/>
    </xf>
    <xf numFmtId="164" fontId="12" fillId="4" borderId="34" xfId="2" applyNumberFormat="1" applyFont="1" applyFill="1" applyBorder="1" applyAlignment="1">
      <alignment horizontal="center" vertical="center"/>
    </xf>
    <xf numFmtId="164" fontId="12" fillId="4" borderId="35" xfId="2" applyNumberFormat="1" applyFont="1" applyFill="1" applyBorder="1" applyAlignment="1">
      <alignment horizontal="center" vertical="center"/>
    </xf>
    <xf numFmtId="164" fontId="12" fillId="4" borderId="36" xfId="2" applyNumberFormat="1" applyFont="1" applyFill="1" applyBorder="1" applyAlignment="1">
      <alignment horizontal="center" vertical="center"/>
    </xf>
    <xf numFmtId="0" fontId="2" fillId="0" borderId="37" xfId="3" applyBorder="1" applyAlignment="1">
      <alignment horizontal="center" vertical="center"/>
    </xf>
    <xf numFmtId="0" fontId="2" fillId="0" borderId="38" xfId="3" applyBorder="1" applyAlignment="1">
      <alignment horizontal="center" vertical="center"/>
    </xf>
    <xf numFmtId="0" fontId="2" fillId="0" borderId="15" xfId="3" applyBorder="1" applyAlignment="1">
      <alignment horizontal="center" vertical="center"/>
    </xf>
    <xf numFmtId="0" fontId="2" fillId="0" borderId="14" xfId="3" applyBorder="1" applyAlignment="1">
      <alignment horizontal="center" vertical="center"/>
    </xf>
    <xf numFmtId="0" fontId="9" fillId="0" borderId="34" xfId="2" applyFont="1" applyBorder="1" applyAlignment="1">
      <alignment horizontal="center" vertical="center"/>
    </xf>
    <xf numFmtId="0" fontId="9" fillId="0" borderId="35" xfId="2" applyFont="1" applyBorder="1" applyAlignment="1">
      <alignment horizontal="center" vertical="center"/>
    </xf>
    <xf numFmtId="0" fontId="9" fillId="0" borderId="36" xfId="2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1" fontId="11" fillId="4" borderId="37" xfId="2" applyNumberFormat="1" applyFont="1" applyFill="1" applyBorder="1" applyAlignment="1">
      <alignment horizontal="center" vertical="center"/>
    </xf>
    <xf numFmtId="1" fontId="11" fillId="4" borderId="12" xfId="2" applyNumberFormat="1" applyFont="1" applyFill="1" applyBorder="1" applyAlignment="1">
      <alignment horizontal="center" vertical="center"/>
    </xf>
    <xf numFmtId="0" fontId="2" fillId="0" borderId="51" xfId="2" applyBorder="1" applyAlignment="1">
      <alignment horizontal="center" vertical="center"/>
    </xf>
    <xf numFmtId="0" fontId="2" fillId="0" borderId="40" xfId="2" applyBorder="1" applyAlignment="1">
      <alignment horizontal="center" vertical="center"/>
    </xf>
  </cellXfs>
  <cellStyles count="6">
    <cellStyle name="Normal" xfId="0" builtinId="0"/>
    <cellStyle name="Normal 10" xfId="4" xr:uid="{73B16C3E-65B5-47E6-994C-20AB4EE21995}"/>
    <cellStyle name="Normal 2 2" xfId="5" xr:uid="{B3C19234-9782-481F-923E-0FABDC5B0E13}"/>
    <cellStyle name="Normal 3 2" xfId="2" xr:uid="{D2016BE6-06B7-4C9E-ADE7-CA3BA7FD27EE}"/>
    <cellStyle name="Normal 3 2 2" xfId="3" xr:uid="{228FE790-4E4B-486C-A486-5162B252A9E4}"/>
    <cellStyle name="Per cent" xfId="1" builtinId="5"/>
  </cellStyles>
  <dxfs count="0"/>
  <tableStyles count="0" defaultTableStyle="TableStyleMedium2" defaultPivotStyle="PivotStyleLight16"/>
  <colors>
    <mruColors>
      <color rgb="FF0066FF"/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Unit-5 ; (10-01-2026) ; 488</a:t>
            </a:r>
            <a:r>
              <a:rPr lang="en-US" baseline="0"/>
              <a:t> </a:t>
            </a:r>
            <a:r>
              <a:rPr lang="en-US"/>
              <a:t>MW ;332TPH</a:t>
            </a:r>
            <a:r>
              <a:rPr lang="en-US" baseline="0"/>
              <a:t> </a:t>
            </a:r>
            <a:r>
              <a:rPr lang="en-US"/>
              <a:t>/Mills - A B C</a:t>
            </a:r>
            <a:r>
              <a:rPr lang="en-US" baseline="0"/>
              <a:t> E  F G</a:t>
            </a:r>
          </a:p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rich>
      </c:tx>
      <c:layout>
        <c:manualLayout>
          <c:xMode val="edge"/>
          <c:yMode val="edge"/>
          <c:x val="6.8037481673657529E-2"/>
          <c:y val="1.110262015773827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958268844764864"/>
          <c:y val="9.7721077000206505E-2"/>
          <c:w val="0.59427967166472306"/>
          <c:h val="0.77396842565940005"/>
        </c:manualLayout>
      </c:layout>
      <c:scatterChart>
        <c:scatterStyle val="smoothMarker"/>
        <c:varyColors val="0"/>
        <c:ser>
          <c:idx val="0"/>
          <c:order val="0"/>
          <c:tx>
            <c:v>Corner-1</c:v>
          </c:tx>
          <c:spPr>
            <a:ln w="22225">
              <a:solidFill>
                <a:srgbClr val="7030A0"/>
              </a:solidFill>
            </a:ln>
          </c:spPr>
          <c:marker>
            <c:symbol val="square"/>
            <c:size val="3"/>
          </c:marker>
          <c:xVal>
            <c:numRef>
              <c:f>'18.03.26'!$B$8:$B$16</c:f>
              <c:numCache>
                <c:formatCode>General</c:formatCode>
                <c:ptCount val="9"/>
                <c:pt idx="0">
                  <c:v>1028</c:v>
                </c:pt>
                <c:pt idx="1">
                  <c:v>1139</c:v>
                </c:pt>
                <c:pt idx="2">
                  <c:v>1185</c:v>
                </c:pt>
                <c:pt idx="3">
                  <c:v>1221</c:v>
                </c:pt>
                <c:pt idx="4">
                  <c:v>1172</c:v>
                </c:pt>
                <c:pt idx="5">
                  <c:v>1138</c:v>
                </c:pt>
                <c:pt idx="6">
                  <c:v>1072</c:v>
                </c:pt>
                <c:pt idx="7">
                  <c:v>1028</c:v>
                </c:pt>
                <c:pt idx="8">
                  <c:v>1013</c:v>
                </c:pt>
              </c:numCache>
            </c:numRef>
          </c:xVal>
          <c:yVal>
            <c:numRef>
              <c:f>'18.03.26'!$A$8:$A$16</c:f>
              <c:numCache>
                <c:formatCode>0.0</c:formatCode>
                <c:ptCount val="9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04-4481-9D47-D54CF2AA4DEC}"/>
            </c:ext>
          </c:extLst>
        </c:ser>
        <c:ser>
          <c:idx val="1"/>
          <c:order val="1"/>
          <c:tx>
            <c:v>Corner-2</c:v>
          </c:tx>
          <c:spPr>
            <a:ln w="22225">
              <a:solidFill>
                <a:schemeClr val="tx1"/>
              </a:solidFill>
            </a:ln>
          </c:spPr>
          <c:marker>
            <c:symbol val="square"/>
            <c:size val="3"/>
          </c:marker>
          <c:xVal>
            <c:numRef>
              <c:f>'18.03.26'!$C$8:$C$16</c:f>
              <c:numCache>
                <c:formatCode>General</c:formatCode>
                <c:ptCount val="9"/>
                <c:pt idx="0">
                  <c:v>1091</c:v>
                </c:pt>
                <c:pt idx="1">
                  <c:v>1142</c:v>
                </c:pt>
                <c:pt idx="2">
                  <c:v>1198</c:v>
                </c:pt>
                <c:pt idx="3">
                  <c:v>1217</c:v>
                </c:pt>
                <c:pt idx="4">
                  <c:v>1193</c:v>
                </c:pt>
                <c:pt idx="5">
                  <c:v>1151</c:v>
                </c:pt>
                <c:pt idx="6">
                  <c:v>1060</c:v>
                </c:pt>
                <c:pt idx="7">
                  <c:v>1035</c:v>
                </c:pt>
                <c:pt idx="8">
                  <c:v>1006</c:v>
                </c:pt>
              </c:numCache>
            </c:numRef>
          </c:xVal>
          <c:yVal>
            <c:numRef>
              <c:f>'18.03.26'!$A$8:$A$16</c:f>
              <c:numCache>
                <c:formatCode>0.0</c:formatCode>
                <c:ptCount val="9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04-4481-9D47-D54CF2AA4DEC}"/>
            </c:ext>
          </c:extLst>
        </c:ser>
        <c:ser>
          <c:idx val="2"/>
          <c:order val="2"/>
          <c:tx>
            <c:v>Corner-3</c:v>
          </c:tx>
          <c:spPr>
            <a:ln w="22225">
              <a:solidFill>
                <a:srgbClr val="C00000"/>
              </a:solidFill>
            </a:ln>
          </c:spPr>
          <c:marker>
            <c:symbol val="diamond"/>
            <c:size val="3"/>
          </c:marker>
          <c:xVal>
            <c:numRef>
              <c:f>'18.03.26'!$D$8:$D$16</c:f>
              <c:numCache>
                <c:formatCode>General</c:formatCode>
                <c:ptCount val="9"/>
                <c:pt idx="0">
                  <c:v>1041</c:v>
                </c:pt>
                <c:pt idx="1">
                  <c:v>1103</c:v>
                </c:pt>
                <c:pt idx="2">
                  <c:v>1176</c:v>
                </c:pt>
                <c:pt idx="3">
                  <c:v>1181</c:v>
                </c:pt>
                <c:pt idx="4">
                  <c:v>1156</c:v>
                </c:pt>
                <c:pt idx="5">
                  <c:v>1122</c:v>
                </c:pt>
                <c:pt idx="6">
                  <c:v>1041</c:v>
                </c:pt>
                <c:pt idx="7">
                  <c:v>1016</c:v>
                </c:pt>
                <c:pt idx="8">
                  <c:v>1020</c:v>
                </c:pt>
              </c:numCache>
            </c:numRef>
          </c:xVal>
          <c:yVal>
            <c:numRef>
              <c:f>'18.03.26'!$A$8:$A$16</c:f>
              <c:numCache>
                <c:formatCode>0.0</c:formatCode>
                <c:ptCount val="9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304-4481-9D47-D54CF2AA4DEC}"/>
            </c:ext>
          </c:extLst>
        </c:ser>
        <c:ser>
          <c:idx val="3"/>
          <c:order val="3"/>
          <c:tx>
            <c:v>Corner-4</c:v>
          </c:tx>
          <c:spPr>
            <a:ln w="22225">
              <a:solidFill>
                <a:srgbClr val="00B050"/>
              </a:solidFill>
            </a:ln>
          </c:spPr>
          <c:marker>
            <c:symbol val="triangle"/>
            <c:size val="3"/>
          </c:marker>
          <c:xVal>
            <c:numRef>
              <c:f>'18.03.26'!$E$8:$E$16</c:f>
              <c:numCache>
                <c:formatCode>General</c:formatCode>
                <c:ptCount val="9"/>
                <c:pt idx="0">
                  <c:v>1012</c:v>
                </c:pt>
                <c:pt idx="1">
                  <c:v>1120</c:v>
                </c:pt>
                <c:pt idx="2">
                  <c:v>1179</c:v>
                </c:pt>
                <c:pt idx="3">
                  <c:v>1190</c:v>
                </c:pt>
                <c:pt idx="4">
                  <c:v>1166</c:v>
                </c:pt>
                <c:pt idx="5">
                  <c:v>1125</c:v>
                </c:pt>
                <c:pt idx="6">
                  <c:v>1062</c:v>
                </c:pt>
                <c:pt idx="7">
                  <c:v>1024</c:v>
                </c:pt>
                <c:pt idx="8">
                  <c:v>1010</c:v>
                </c:pt>
              </c:numCache>
            </c:numRef>
          </c:xVal>
          <c:yVal>
            <c:numRef>
              <c:f>'18.03.26'!$A$8:$A$16</c:f>
              <c:numCache>
                <c:formatCode>0.0</c:formatCode>
                <c:ptCount val="9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304-4481-9D47-D54CF2AA4DEC}"/>
            </c:ext>
          </c:extLst>
        </c:ser>
        <c:ser>
          <c:idx val="4"/>
          <c:order val="4"/>
          <c:tx>
            <c:v>Average</c:v>
          </c:tx>
          <c:spPr>
            <a:ln w="31750">
              <a:solidFill>
                <a:srgbClr val="FF0000"/>
              </a:solidFill>
              <a:prstDash val="sysDash"/>
            </a:ln>
          </c:spPr>
          <c:marker>
            <c:symbol val="diamond"/>
            <c:size val="3"/>
          </c:marker>
          <c:xVal>
            <c:numRef>
              <c:f>'18.03.26'!$F$8:$F$16</c:f>
              <c:numCache>
                <c:formatCode>0</c:formatCode>
                <c:ptCount val="9"/>
                <c:pt idx="0">
                  <c:v>1043</c:v>
                </c:pt>
                <c:pt idx="1">
                  <c:v>1126</c:v>
                </c:pt>
                <c:pt idx="2">
                  <c:v>1184.5</c:v>
                </c:pt>
                <c:pt idx="3">
                  <c:v>1202.25</c:v>
                </c:pt>
                <c:pt idx="4">
                  <c:v>1171.75</c:v>
                </c:pt>
                <c:pt idx="5">
                  <c:v>1134</c:v>
                </c:pt>
                <c:pt idx="6">
                  <c:v>1058.75</c:v>
                </c:pt>
                <c:pt idx="7">
                  <c:v>1025.75</c:v>
                </c:pt>
                <c:pt idx="8">
                  <c:v>1012.25</c:v>
                </c:pt>
              </c:numCache>
            </c:numRef>
          </c:xVal>
          <c:yVal>
            <c:numRef>
              <c:f>'18.03.26'!$A$8:$A$16</c:f>
              <c:numCache>
                <c:formatCode>0.0</c:formatCode>
                <c:ptCount val="9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304-4481-9D47-D54CF2AA4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29760"/>
        <c:axId val="152240128"/>
      </c:scatterChart>
      <c:valAx>
        <c:axId val="152229760"/>
        <c:scaling>
          <c:orientation val="minMax"/>
          <c:max val="1400"/>
          <c:min val="600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Temp </a:t>
                </a:r>
                <a:r>
                  <a:rPr lang="en-US" sz="12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o</a:t>
                </a: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C</a:t>
                </a:r>
              </a:p>
            </c:rich>
          </c:tx>
          <c:layout>
            <c:manualLayout>
              <c:xMode val="edge"/>
              <c:yMode val="edge"/>
              <c:x val="0.36930694008077863"/>
              <c:y val="0.908543926391223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40128"/>
        <c:crossesAt val="10"/>
        <c:crossBetween val="midCat"/>
        <c:majorUnit val="100"/>
      </c:valAx>
      <c:valAx>
        <c:axId val="152240128"/>
        <c:scaling>
          <c:orientation val="minMax"/>
          <c:max val="62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Level (M)</a:t>
                </a:r>
              </a:p>
            </c:rich>
          </c:tx>
          <c:layout>
            <c:manualLayout>
              <c:xMode val="edge"/>
              <c:yMode val="edge"/>
              <c:x val="9.0583504648125684E-3"/>
              <c:y val="0.3161100592762983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29760"/>
        <c:crossesAt val="15"/>
        <c:crossBetween val="midCat"/>
        <c:majorUnit val="2"/>
        <c:minorUnit val="2"/>
      </c:valAx>
      <c:spPr>
        <a:solidFill>
          <a:schemeClr val="bg1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7819291476288444"/>
          <c:y val="0.35884773953817567"/>
          <c:w val="0.21414146421623845"/>
          <c:h val="0.32516865728863936"/>
        </c:manualLayout>
      </c:layout>
      <c:overlay val="0"/>
      <c:spPr>
        <a:solidFill>
          <a:schemeClr val="bg1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5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465" r="0.75000000000001465" t="1" header="0.5" footer="0.5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Unit-5 ; (18-03-2026) ; 495</a:t>
            </a:r>
            <a:r>
              <a:rPr lang="en-US" baseline="0"/>
              <a:t> </a:t>
            </a:r>
            <a:r>
              <a:rPr lang="en-US"/>
              <a:t>MW ;355</a:t>
            </a:r>
            <a:r>
              <a:rPr lang="en-US" baseline="0"/>
              <a:t> </a:t>
            </a:r>
            <a:r>
              <a:rPr lang="en-US"/>
              <a:t>TPH</a:t>
            </a:r>
            <a:r>
              <a:rPr lang="en-US" baseline="0"/>
              <a:t> </a:t>
            </a:r>
            <a:r>
              <a:rPr lang="en-US"/>
              <a:t>/Mills -</a:t>
            </a:r>
            <a:r>
              <a:rPr lang="en-US" baseline="0"/>
              <a:t> A B D E F G   </a:t>
            </a:r>
          </a:p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rich>
      </c:tx>
      <c:layout>
        <c:manualLayout>
          <c:xMode val="edge"/>
          <c:yMode val="edge"/>
          <c:x val="6.8037481673657529E-2"/>
          <c:y val="1.110262015773827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958268844764864"/>
          <c:y val="9.7721077000206505E-2"/>
          <c:w val="0.59427967166472306"/>
          <c:h val="0.77396842565940005"/>
        </c:manualLayout>
      </c:layout>
      <c:scatterChart>
        <c:scatterStyle val="smoothMarker"/>
        <c:varyColors val="0"/>
        <c:ser>
          <c:idx val="0"/>
          <c:order val="0"/>
          <c:tx>
            <c:v>Corner-1</c:v>
          </c:tx>
          <c:spPr>
            <a:ln w="22225">
              <a:solidFill>
                <a:srgbClr val="7030A0"/>
              </a:solidFill>
            </a:ln>
          </c:spPr>
          <c:marker>
            <c:symbol val="square"/>
            <c:size val="3"/>
          </c:marker>
          <c:xVal>
            <c:numRef>
              <c:f>'18.03.26'!$B$8:$B$16</c:f>
              <c:numCache>
                <c:formatCode>General</c:formatCode>
                <c:ptCount val="9"/>
                <c:pt idx="0">
                  <c:v>1028</c:v>
                </c:pt>
                <c:pt idx="1">
                  <c:v>1139</c:v>
                </c:pt>
                <c:pt idx="2">
                  <c:v>1185</c:v>
                </c:pt>
                <c:pt idx="3">
                  <c:v>1221</c:v>
                </c:pt>
                <c:pt idx="4">
                  <c:v>1172</c:v>
                </c:pt>
                <c:pt idx="5">
                  <c:v>1138</c:v>
                </c:pt>
                <c:pt idx="6">
                  <c:v>1072</c:v>
                </c:pt>
                <c:pt idx="7">
                  <c:v>1028</c:v>
                </c:pt>
                <c:pt idx="8">
                  <c:v>1013</c:v>
                </c:pt>
              </c:numCache>
            </c:numRef>
          </c:xVal>
          <c:yVal>
            <c:numRef>
              <c:f>'18.03.26'!$A$8:$A$16</c:f>
              <c:numCache>
                <c:formatCode>0.0</c:formatCode>
                <c:ptCount val="9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35-4A51-81EF-271338DA6042}"/>
            </c:ext>
          </c:extLst>
        </c:ser>
        <c:ser>
          <c:idx val="1"/>
          <c:order val="1"/>
          <c:tx>
            <c:v>Corner-2</c:v>
          </c:tx>
          <c:spPr>
            <a:ln w="22225">
              <a:solidFill>
                <a:schemeClr val="tx1"/>
              </a:solidFill>
            </a:ln>
          </c:spPr>
          <c:marker>
            <c:symbol val="square"/>
            <c:size val="3"/>
          </c:marker>
          <c:xVal>
            <c:numRef>
              <c:f>'18.03.26'!$C$8:$C$16</c:f>
              <c:numCache>
                <c:formatCode>General</c:formatCode>
                <c:ptCount val="9"/>
                <c:pt idx="0">
                  <c:v>1091</c:v>
                </c:pt>
                <c:pt idx="1">
                  <c:v>1142</c:v>
                </c:pt>
                <c:pt idx="2">
                  <c:v>1198</c:v>
                </c:pt>
                <c:pt idx="3">
                  <c:v>1217</c:v>
                </c:pt>
                <c:pt idx="4">
                  <c:v>1193</c:v>
                </c:pt>
                <c:pt idx="5">
                  <c:v>1151</c:v>
                </c:pt>
                <c:pt idx="6">
                  <c:v>1060</c:v>
                </c:pt>
                <c:pt idx="7">
                  <c:v>1035</c:v>
                </c:pt>
                <c:pt idx="8">
                  <c:v>1006</c:v>
                </c:pt>
              </c:numCache>
            </c:numRef>
          </c:xVal>
          <c:yVal>
            <c:numRef>
              <c:f>'18.03.26'!$A$8:$A$16</c:f>
              <c:numCache>
                <c:formatCode>0.0</c:formatCode>
                <c:ptCount val="9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35-4A51-81EF-271338DA6042}"/>
            </c:ext>
          </c:extLst>
        </c:ser>
        <c:ser>
          <c:idx val="2"/>
          <c:order val="2"/>
          <c:tx>
            <c:v>Corner-3</c:v>
          </c:tx>
          <c:spPr>
            <a:ln w="22225">
              <a:solidFill>
                <a:srgbClr val="C00000"/>
              </a:solidFill>
            </a:ln>
          </c:spPr>
          <c:marker>
            <c:symbol val="diamond"/>
            <c:size val="3"/>
          </c:marker>
          <c:xVal>
            <c:numRef>
              <c:f>'18.03.26'!$D$8:$D$16</c:f>
              <c:numCache>
                <c:formatCode>General</c:formatCode>
                <c:ptCount val="9"/>
                <c:pt idx="0">
                  <c:v>1041</c:v>
                </c:pt>
                <c:pt idx="1">
                  <c:v>1103</c:v>
                </c:pt>
                <c:pt idx="2">
                  <c:v>1176</c:v>
                </c:pt>
                <c:pt idx="3">
                  <c:v>1181</c:v>
                </c:pt>
                <c:pt idx="4">
                  <c:v>1156</c:v>
                </c:pt>
                <c:pt idx="5">
                  <c:v>1122</c:v>
                </c:pt>
                <c:pt idx="6">
                  <c:v>1041</c:v>
                </c:pt>
                <c:pt idx="7">
                  <c:v>1016</c:v>
                </c:pt>
                <c:pt idx="8">
                  <c:v>1020</c:v>
                </c:pt>
              </c:numCache>
            </c:numRef>
          </c:xVal>
          <c:yVal>
            <c:numRef>
              <c:f>'18.03.26'!$A$8:$A$16</c:f>
              <c:numCache>
                <c:formatCode>0.0</c:formatCode>
                <c:ptCount val="9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535-4A51-81EF-271338DA6042}"/>
            </c:ext>
          </c:extLst>
        </c:ser>
        <c:ser>
          <c:idx val="3"/>
          <c:order val="3"/>
          <c:tx>
            <c:v>Corner-4</c:v>
          </c:tx>
          <c:spPr>
            <a:ln w="22225">
              <a:solidFill>
                <a:srgbClr val="00B050"/>
              </a:solidFill>
            </a:ln>
          </c:spPr>
          <c:marker>
            <c:symbol val="triangle"/>
            <c:size val="3"/>
          </c:marker>
          <c:xVal>
            <c:numRef>
              <c:f>'18.03.26'!$E$8:$E$16</c:f>
              <c:numCache>
                <c:formatCode>General</c:formatCode>
                <c:ptCount val="9"/>
                <c:pt idx="0">
                  <c:v>1012</c:v>
                </c:pt>
                <c:pt idx="1">
                  <c:v>1120</c:v>
                </c:pt>
                <c:pt idx="2">
                  <c:v>1179</c:v>
                </c:pt>
                <c:pt idx="3">
                  <c:v>1190</c:v>
                </c:pt>
                <c:pt idx="4">
                  <c:v>1166</c:v>
                </c:pt>
                <c:pt idx="5">
                  <c:v>1125</c:v>
                </c:pt>
                <c:pt idx="6">
                  <c:v>1062</c:v>
                </c:pt>
                <c:pt idx="7">
                  <c:v>1024</c:v>
                </c:pt>
                <c:pt idx="8">
                  <c:v>1010</c:v>
                </c:pt>
              </c:numCache>
            </c:numRef>
          </c:xVal>
          <c:yVal>
            <c:numRef>
              <c:f>'18.03.26'!$A$8:$A$16</c:f>
              <c:numCache>
                <c:formatCode>0.0</c:formatCode>
                <c:ptCount val="9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535-4A51-81EF-271338DA6042}"/>
            </c:ext>
          </c:extLst>
        </c:ser>
        <c:ser>
          <c:idx val="4"/>
          <c:order val="4"/>
          <c:tx>
            <c:v>Average</c:v>
          </c:tx>
          <c:spPr>
            <a:ln w="31750">
              <a:solidFill>
                <a:srgbClr val="FF0000"/>
              </a:solidFill>
              <a:prstDash val="sysDash"/>
            </a:ln>
          </c:spPr>
          <c:marker>
            <c:symbol val="diamond"/>
            <c:size val="3"/>
          </c:marker>
          <c:xVal>
            <c:numRef>
              <c:f>'18.03.26'!$F$8:$F$16</c:f>
              <c:numCache>
                <c:formatCode>0</c:formatCode>
                <c:ptCount val="9"/>
                <c:pt idx="0">
                  <c:v>1043</c:v>
                </c:pt>
                <c:pt idx="1">
                  <c:v>1126</c:v>
                </c:pt>
                <c:pt idx="2">
                  <c:v>1184.5</c:v>
                </c:pt>
                <c:pt idx="3">
                  <c:v>1202.25</c:v>
                </c:pt>
                <c:pt idx="4">
                  <c:v>1171.75</c:v>
                </c:pt>
                <c:pt idx="5">
                  <c:v>1134</c:v>
                </c:pt>
                <c:pt idx="6">
                  <c:v>1058.75</c:v>
                </c:pt>
                <c:pt idx="7">
                  <c:v>1025.75</c:v>
                </c:pt>
                <c:pt idx="8">
                  <c:v>1012.25</c:v>
                </c:pt>
              </c:numCache>
            </c:numRef>
          </c:xVal>
          <c:yVal>
            <c:numRef>
              <c:f>'18.03.26'!$A$8:$A$16</c:f>
              <c:numCache>
                <c:formatCode>0.0</c:formatCode>
                <c:ptCount val="9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535-4A51-81EF-271338DA6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29760"/>
        <c:axId val="152240128"/>
      </c:scatterChart>
      <c:valAx>
        <c:axId val="152229760"/>
        <c:scaling>
          <c:orientation val="minMax"/>
          <c:max val="1400"/>
          <c:min val="600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Temp </a:t>
                </a:r>
                <a:r>
                  <a:rPr lang="en-US" sz="12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o</a:t>
                </a: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C</a:t>
                </a:r>
              </a:p>
            </c:rich>
          </c:tx>
          <c:layout>
            <c:manualLayout>
              <c:xMode val="edge"/>
              <c:yMode val="edge"/>
              <c:x val="0.36930694008077863"/>
              <c:y val="0.908543926391223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40128"/>
        <c:crossesAt val="10"/>
        <c:crossBetween val="midCat"/>
        <c:majorUnit val="100"/>
      </c:valAx>
      <c:valAx>
        <c:axId val="152240128"/>
        <c:scaling>
          <c:orientation val="minMax"/>
          <c:max val="62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Level (M)</a:t>
                </a:r>
              </a:p>
            </c:rich>
          </c:tx>
          <c:layout>
            <c:manualLayout>
              <c:xMode val="edge"/>
              <c:yMode val="edge"/>
              <c:x val="9.0583504648125684E-3"/>
              <c:y val="0.3161100592762983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29760"/>
        <c:crossesAt val="15"/>
        <c:crossBetween val="midCat"/>
        <c:majorUnit val="2"/>
        <c:minorUnit val="2"/>
      </c:valAx>
      <c:spPr>
        <a:solidFill>
          <a:schemeClr val="bg1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7819291476288444"/>
          <c:y val="0.35884773953817567"/>
          <c:w val="0.21414146421623845"/>
          <c:h val="0.32516865728863936"/>
        </c:manualLayout>
      </c:layout>
      <c:overlay val="0"/>
      <c:spPr>
        <a:solidFill>
          <a:schemeClr val="bg1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5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465" r="0.75000000000001465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1</xdr:row>
      <xdr:rowOff>91440</xdr:rowOff>
    </xdr:from>
    <xdr:to>
      <xdr:col>18</xdr:col>
      <xdr:colOff>548640</xdr:colOff>
      <xdr:row>26</xdr:row>
      <xdr:rowOff>30480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1CBFC828-9DF8-4246-BF26-97B91D3F6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47625</xdr:colOff>
      <xdr:row>1</xdr:row>
      <xdr:rowOff>91440</xdr:rowOff>
    </xdr:from>
    <xdr:to>
      <xdr:col>18</xdr:col>
      <xdr:colOff>548640</xdr:colOff>
      <xdr:row>26</xdr:row>
      <xdr:rowOff>30480</xdr:rowOff>
    </xdr:to>
    <xdr:graphicFrame macro="">
      <xdr:nvGraphicFramePr>
        <xdr:cNvPr id="3" name="Chart 6">
          <a:extLst>
            <a:ext uri="{FF2B5EF4-FFF2-40B4-BE49-F238E27FC236}">
              <a16:creationId xmlns:a16="http://schemas.microsoft.com/office/drawing/2014/main" id="{00955050-1219-463C-9F8A-7EC043E17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D0EF0-FFBA-4CCD-A362-763540E6752B}">
  <sheetPr>
    <tabColor theme="0"/>
    <pageSetUpPr fitToPage="1"/>
  </sheetPr>
  <dimension ref="A1:T39"/>
  <sheetViews>
    <sheetView tabSelected="1" zoomScaleNormal="100" zoomScaleSheetLayoutView="100" workbookViewId="0">
      <selection activeCell="A2" sqref="A2"/>
    </sheetView>
  </sheetViews>
  <sheetFormatPr baseColWidth="10" defaultColWidth="8.83203125" defaultRowHeight="13" x14ac:dyDescent="0.15"/>
  <cols>
    <col min="1" max="1" width="18.6640625" style="12" customWidth="1"/>
    <col min="2" max="2" width="12.83203125" style="12" customWidth="1"/>
    <col min="3" max="7" width="12" style="12" customWidth="1"/>
    <col min="8" max="9" width="12.33203125" style="12" customWidth="1"/>
    <col min="10" max="10" width="5.33203125" style="12" customWidth="1"/>
    <col min="11" max="11" width="4.5" style="12" customWidth="1"/>
    <col min="12" max="253" width="8.83203125" style="12"/>
    <col min="254" max="254" width="18.6640625" style="12" customWidth="1"/>
    <col min="255" max="255" width="12.83203125" style="12" customWidth="1"/>
    <col min="256" max="260" width="12" style="12" customWidth="1"/>
    <col min="261" max="261" width="8.83203125" style="12"/>
    <col min="262" max="262" width="7.33203125" style="12" customWidth="1"/>
    <col min="263" max="263" width="8.83203125" style="12"/>
    <col min="264" max="264" width="7" style="12" customWidth="1"/>
    <col min="265" max="265" width="8.83203125" style="12"/>
    <col min="266" max="266" width="5.33203125" style="12" customWidth="1"/>
    <col min="267" max="267" width="4.5" style="12" customWidth="1"/>
    <col min="268" max="509" width="8.83203125" style="12"/>
    <col min="510" max="510" width="18.6640625" style="12" customWidth="1"/>
    <col min="511" max="511" width="12.83203125" style="12" customWidth="1"/>
    <col min="512" max="516" width="12" style="12" customWidth="1"/>
    <col min="517" max="517" width="8.83203125" style="12"/>
    <col min="518" max="518" width="7.33203125" style="12" customWidth="1"/>
    <col min="519" max="519" width="8.83203125" style="12"/>
    <col min="520" max="520" width="7" style="12" customWidth="1"/>
    <col min="521" max="521" width="8.83203125" style="12"/>
    <col min="522" max="522" width="5.33203125" style="12" customWidth="1"/>
    <col min="523" max="523" width="4.5" style="12" customWidth="1"/>
    <col min="524" max="765" width="8.83203125" style="12"/>
    <col min="766" max="766" width="18.6640625" style="12" customWidth="1"/>
    <col min="767" max="767" width="12.83203125" style="12" customWidth="1"/>
    <col min="768" max="772" width="12" style="12" customWidth="1"/>
    <col min="773" max="773" width="8.83203125" style="12"/>
    <col min="774" max="774" width="7.33203125" style="12" customWidth="1"/>
    <col min="775" max="775" width="8.83203125" style="12"/>
    <col min="776" max="776" width="7" style="12" customWidth="1"/>
    <col min="777" max="777" width="8.83203125" style="12"/>
    <col min="778" max="778" width="5.33203125" style="12" customWidth="1"/>
    <col min="779" max="779" width="4.5" style="12" customWidth="1"/>
    <col min="780" max="1021" width="8.83203125" style="12"/>
    <col min="1022" max="1022" width="18.6640625" style="12" customWidth="1"/>
    <col min="1023" max="1023" width="12.83203125" style="12" customWidth="1"/>
    <col min="1024" max="1028" width="12" style="12" customWidth="1"/>
    <col min="1029" max="1029" width="8.83203125" style="12"/>
    <col min="1030" max="1030" width="7.33203125" style="12" customWidth="1"/>
    <col min="1031" max="1031" width="8.83203125" style="12"/>
    <col min="1032" max="1032" width="7" style="12" customWidth="1"/>
    <col min="1033" max="1033" width="8.83203125" style="12"/>
    <col min="1034" max="1034" width="5.33203125" style="12" customWidth="1"/>
    <col min="1035" max="1035" width="4.5" style="12" customWidth="1"/>
    <col min="1036" max="1277" width="8.83203125" style="12"/>
    <col min="1278" max="1278" width="18.6640625" style="12" customWidth="1"/>
    <col min="1279" max="1279" width="12.83203125" style="12" customWidth="1"/>
    <col min="1280" max="1284" width="12" style="12" customWidth="1"/>
    <col min="1285" max="1285" width="8.83203125" style="12"/>
    <col min="1286" max="1286" width="7.33203125" style="12" customWidth="1"/>
    <col min="1287" max="1287" width="8.83203125" style="12"/>
    <col min="1288" max="1288" width="7" style="12" customWidth="1"/>
    <col min="1289" max="1289" width="8.83203125" style="12"/>
    <col min="1290" max="1290" width="5.33203125" style="12" customWidth="1"/>
    <col min="1291" max="1291" width="4.5" style="12" customWidth="1"/>
    <col min="1292" max="1533" width="8.83203125" style="12"/>
    <col min="1534" max="1534" width="18.6640625" style="12" customWidth="1"/>
    <col min="1535" max="1535" width="12.83203125" style="12" customWidth="1"/>
    <col min="1536" max="1540" width="12" style="12" customWidth="1"/>
    <col min="1541" max="1541" width="8.83203125" style="12"/>
    <col min="1542" max="1542" width="7.33203125" style="12" customWidth="1"/>
    <col min="1543" max="1543" width="8.83203125" style="12"/>
    <col min="1544" max="1544" width="7" style="12" customWidth="1"/>
    <col min="1545" max="1545" width="8.83203125" style="12"/>
    <col min="1546" max="1546" width="5.33203125" style="12" customWidth="1"/>
    <col min="1547" max="1547" width="4.5" style="12" customWidth="1"/>
    <col min="1548" max="1789" width="8.83203125" style="12"/>
    <col min="1790" max="1790" width="18.6640625" style="12" customWidth="1"/>
    <col min="1791" max="1791" width="12.83203125" style="12" customWidth="1"/>
    <col min="1792" max="1796" width="12" style="12" customWidth="1"/>
    <col min="1797" max="1797" width="8.83203125" style="12"/>
    <col min="1798" max="1798" width="7.33203125" style="12" customWidth="1"/>
    <col min="1799" max="1799" width="8.83203125" style="12"/>
    <col min="1800" max="1800" width="7" style="12" customWidth="1"/>
    <col min="1801" max="1801" width="8.83203125" style="12"/>
    <col min="1802" max="1802" width="5.33203125" style="12" customWidth="1"/>
    <col min="1803" max="1803" width="4.5" style="12" customWidth="1"/>
    <col min="1804" max="2045" width="8.83203125" style="12"/>
    <col min="2046" max="2046" width="18.6640625" style="12" customWidth="1"/>
    <col min="2047" max="2047" width="12.83203125" style="12" customWidth="1"/>
    <col min="2048" max="2052" width="12" style="12" customWidth="1"/>
    <col min="2053" max="2053" width="8.83203125" style="12"/>
    <col min="2054" max="2054" width="7.33203125" style="12" customWidth="1"/>
    <col min="2055" max="2055" width="8.83203125" style="12"/>
    <col min="2056" max="2056" width="7" style="12" customWidth="1"/>
    <col min="2057" max="2057" width="8.83203125" style="12"/>
    <col min="2058" max="2058" width="5.33203125" style="12" customWidth="1"/>
    <col min="2059" max="2059" width="4.5" style="12" customWidth="1"/>
    <col min="2060" max="2301" width="8.83203125" style="12"/>
    <col min="2302" max="2302" width="18.6640625" style="12" customWidth="1"/>
    <col min="2303" max="2303" width="12.83203125" style="12" customWidth="1"/>
    <col min="2304" max="2308" width="12" style="12" customWidth="1"/>
    <col min="2309" max="2309" width="8.83203125" style="12"/>
    <col min="2310" max="2310" width="7.33203125" style="12" customWidth="1"/>
    <col min="2311" max="2311" width="8.83203125" style="12"/>
    <col min="2312" max="2312" width="7" style="12" customWidth="1"/>
    <col min="2313" max="2313" width="8.83203125" style="12"/>
    <col min="2314" max="2314" width="5.33203125" style="12" customWidth="1"/>
    <col min="2315" max="2315" width="4.5" style="12" customWidth="1"/>
    <col min="2316" max="2557" width="8.83203125" style="12"/>
    <col min="2558" max="2558" width="18.6640625" style="12" customWidth="1"/>
    <col min="2559" max="2559" width="12.83203125" style="12" customWidth="1"/>
    <col min="2560" max="2564" width="12" style="12" customWidth="1"/>
    <col min="2565" max="2565" width="8.83203125" style="12"/>
    <col min="2566" max="2566" width="7.33203125" style="12" customWidth="1"/>
    <col min="2567" max="2567" width="8.83203125" style="12"/>
    <col min="2568" max="2568" width="7" style="12" customWidth="1"/>
    <col min="2569" max="2569" width="8.83203125" style="12"/>
    <col min="2570" max="2570" width="5.33203125" style="12" customWidth="1"/>
    <col min="2571" max="2571" width="4.5" style="12" customWidth="1"/>
    <col min="2572" max="2813" width="8.83203125" style="12"/>
    <col min="2814" max="2814" width="18.6640625" style="12" customWidth="1"/>
    <col min="2815" max="2815" width="12.83203125" style="12" customWidth="1"/>
    <col min="2816" max="2820" width="12" style="12" customWidth="1"/>
    <col min="2821" max="2821" width="8.83203125" style="12"/>
    <col min="2822" max="2822" width="7.33203125" style="12" customWidth="1"/>
    <col min="2823" max="2823" width="8.83203125" style="12"/>
    <col min="2824" max="2824" width="7" style="12" customWidth="1"/>
    <col min="2825" max="2825" width="8.83203125" style="12"/>
    <col min="2826" max="2826" width="5.33203125" style="12" customWidth="1"/>
    <col min="2827" max="2827" width="4.5" style="12" customWidth="1"/>
    <col min="2828" max="3069" width="8.83203125" style="12"/>
    <col min="3070" max="3070" width="18.6640625" style="12" customWidth="1"/>
    <col min="3071" max="3071" width="12.83203125" style="12" customWidth="1"/>
    <col min="3072" max="3076" width="12" style="12" customWidth="1"/>
    <col min="3077" max="3077" width="8.83203125" style="12"/>
    <col min="3078" max="3078" width="7.33203125" style="12" customWidth="1"/>
    <col min="3079" max="3079" width="8.83203125" style="12"/>
    <col min="3080" max="3080" width="7" style="12" customWidth="1"/>
    <col min="3081" max="3081" width="8.83203125" style="12"/>
    <col min="3082" max="3082" width="5.33203125" style="12" customWidth="1"/>
    <col min="3083" max="3083" width="4.5" style="12" customWidth="1"/>
    <col min="3084" max="3325" width="8.83203125" style="12"/>
    <col min="3326" max="3326" width="18.6640625" style="12" customWidth="1"/>
    <col min="3327" max="3327" width="12.83203125" style="12" customWidth="1"/>
    <col min="3328" max="3332" width="12" style="12" customWidth="1"/>
    <col min="3333" max="3333" width="8.83203125" style="12"/>
    <col min="3334" max="3334" width="7.33203125" style="12" customWidth="1"/>
    <col min="3335" max="3335" width="8.83203125" style="12"/>
    <col min="3336" max="3336" width="7" style="12" customWidth="1"/>
    <col min="3337" max="3337" width="8.83203125" style="12"/>
    <col min="3338" max="3338" width="5.33203125" style="12" customWidth="1"/>
    <col min="3339" max="3339" width="4.5" style="12" customWidth="1"/>
    <col min="3340" max="3581" width="8.83203125" style="12"/>
    <col min="3582" max="3582" width="18.6640625" style="12" customWidth="1"/>
    <col min="3583" max="3583" width="12.83203125" style="12" customWidth="1"/>
    <col min="3584" max="3588" width="12" style="12" customWidth="1"/>
    <col min="3589" max="3589" width="8.83203125" style="12"/>
    <col min="3590" max="3590" width="7.33203125" style="12" customWidth="1"/>
    <col min="3591" max="3591" width="8.83203125" style="12"/>
    <col min="3592" max="3592" width="7" style="12" customWidth="1"/>
    <col min="3593" max="3593" width="8.83203125" style="12"/>
    <col min="3594" max="3594" width="5.33203125" style="12" customWidth="1"/>
    <col min="3595" max="3595" width="4.5" style="12" customWidth="1"/>
    <col min="3596" max="3837" width="8.83203125" style="12"/>
    <col min="3838" max="3838" width="18.6640625" style="12" customWidth="1"/>
    <col min="3839" max="3839" width="12.83203125" style="12" customWidth="1"/>
    <col min="3840" max="3844" width="12" style="12" customWidth="1"/>
    <col min="3845" max="3845" width="8.83203125" style="12"/>
    <col min="3846" max="3846" width="7.33203125" style="12" customWidth="1"/>
    <col min="3847" max="3847" width="8.83203125" style="12"/>
    <col min="3848" max="3848" width="7" style="12" customWidth="1"/>
    <col min="3849" max="3849" width="8.83203125" style="12"/>
    <col min="3850" max="3850" width="5.33203125" style="12" customWidth="1"/>
    <col min="3851" max="3851" width="4.5" style="12" customWidth="1"/>
    <col min="3852" max="4093" width="8.83203125" style="12"/>
    <col min="4094" max="4094" width="18.6640625" style="12" customWidth="1"/>
    <col min="4095" max="4095" width="12.83203125" style="12" customWidth="1"/>
    <col min="4096" max="4100" width="12" style="12" customWidth="1"/>
    <col min="4101" max="4101" width="8.83203125" style="12"/>
    <col min="4102" max="4102" width="7.33203125" style="12" customWidth="1"/>
    <col min="4103" max="4103" width="8.83203125" style="12"/>
    <col min="4104" max="4104" width="7" style="12" customWidth="1"/>
    <col min="4105" max="4105" width="8.83203125" style="12"/>
    <col min="4106" max="4106" width="5.33203125" style="12" customWidth="1"/>
    <col min="4107" max="4107" width="4.5" style="12" customWidth="1"/>
    <col min="4108" max="4349" width="8.83203125" style="12"/>
    <col min="4350" max="4350" width="18.6640625" style="12" customWidth="1"/>
    <col min="4351" max="4351" width="12.83203125" style="12" customWidth="1"/>
    <col min="4352" max="4356" width="12" style="12" customWidth="1"/>
    <col min="4357" max="4357" width="8.83203125" style="12"/>
    <col min="4358" max="4358" width="7.33203125" style="12" customWidth="1"/>
    <col min="4359" max="4359" width="8.83203125" style="12"/>
    <col min="4360" max="4360" width="7" style="12" customWidth="1"/>
    <col min="4361" max="4361" width="8.83203125" style="12"/>
    <col min="4362" max="4362" width="5.33203125" style="12" customWidth="1"/>
    <col min="4363" max="4363" width="4.5" style="12" customWidth="1"/>
    <col min="4364" max="4605" width="8.83203125" style="12"/>
    <col min="4606" max="4606" width="18.6640625" style="12" customWidth="1"/>
    <col min="4607" max="4607" width="12.83203125" style="12" customWidth="1"/>
    <col min="4608" max="4612" width="12" style="12" customWidth="1"/>
    <col min="4613" max="4613" width="8.83203125" style="12"/>
    <col min="4614" max="4614" width="7.33203125" style="12" customWidth="1"/>
    <col min="4615" max="4615" width="8.83203125" style="12"/>
    <col min="4616" max="4616" width="7" style="12" customWidth="1"/>
    <col min="4617" max="4617" width="8.83203125" style="12"/>
    <col min="4618" max="4618" width="5.33203125" style="12" customWidth="1"/>
    <col min="4619" max="4619" width="4.5" style="12" customWidth="1"/>
    <col min="4620" max="4861" width="8.83203125" style="12"/>
    <col min="4862" max="4862" width="18.6640625" style="12" customWidth="1"/>
    <col min="4863" max="4863" width="12.83203125" style="12" customWidth="1"/>
    <col min="4864" max="4868" width="12" style="12" customWidth="1"/>
    <col min="4869" max="4869" width="8.83203125" style="12"/>
    <col min="4870" max="4870" width="7.33203125" style="12" customWidth="1"/>
    <col min="4871" max="4871" width="8.83203125" style="12"/>
    <col min="4872" max="4872" width="7" style="12" customWidth="1"/>
    <col min="4873" max="4873" width="8.83203125" style="12"/>
    <col min="4874" max="4874" width="5.33203125" style="12" customWidth="1"/>
    <col min="4875" max="4875" width="4.5" style="12" customWidth="1"/>
    <col min="4876" max="5117" width="8.83203125" style="12"/>
    <col min="5118" max="5118" width="18.6640625" style="12" customWidth="1"/>
    <col min="5119" max="5119" width="12.83203125" style="12" customWidth="1"/>
    <col min="5120" max="5124" width="12" style="12" customWidth="1"/>
    <col min="5125" max="5125" width="8.83203125" style="12"/>
    <col min="5126" max="5126" width="7.33203125" style="12" customWidth="1"/>
    <col min="5127" max="5127" width="8.83203125" style="12"/>
    <col min="5128" max="5128" width="7" style="12" customWidth="1"/>
    <col min="5129" max="5129" width="8.83203125" style="12"/>
    <col min="5130" max="5130" width="5.33203125" style="12" customWidth="1"/>
    <col min="5131" max="5131" width="4.5" style="12" customWidth="1"/>
    <col min="5132" max="5373" width="8.83203125" style="12"/>
    <col min="5374" max="5374" width="18.6640625" style="12" customWidth="1"/>
    <col min="5375" max="5375" width="12.83203125" style="12" customWidth="1"/>
    <col min="5376" max="5380" width="12" style="12" customWidth="1"/>
    <col min="5381" max="5381" width="8.83203125" style="12"/>
    <col min="5382" max="5382" width="7.33203125" style="12" customWidth="1"/>
    <col min="5383" max="5383" width="8.83203125" style="12"/>
    <col min="5384" max="5384" width="7" style="12" customWidth="1"/>
    <col min="5385" max="5385" width="8.83203125" style="12"/>
    <col min="5386" max="5386" width="5.33203125" style="12" customWidth="1"/>
    <col min="5387" max="5387" width="4.5" style="12" customWidth="1"/>
    <col min="5388" max="5629" width="8.83203125" style="12"/>
    <col min="5630" max="5630" width="18.6640625" style="12" customWidth="1"/>
    <col min="5631" max="5631" width="12.83203125" style="12" customWidth="1"/>
    <col min="5632" max="5636" width="12" style="12" customWidth="1"/>
    <col min="5637" max="5637" width="8.83203125" style="12"/>
    <col min="5638" max="5638" width="7.33203125" style="12" customWidth="1"/>
    <col min="5639" max="5639" width="8.83203125" style="12"/>
    <col min="5640" max="5640" width="7" style="12" customWidth="1"/>
    <col min="5641" max="5641" width="8.83203125" style="12"/>
    <col min="5642" max="5642" width="5.33203125" style="12" customWidth="1"/>
    <col min="5643" max="5643" width="4.5" style="12" customWidth="1"/>
    <col min="5644" max="5885" width="8.83203125" style="12"/>
    <col min="5886" max="5886" width="18.6640625" style="12" customWidth="1"/>
    <col min="5887" max="5887" width="12.83203125" style="12" customWidth="1"/>
    <col min="5888" max="5892" width="12" style="12" customWidth="1"/>
    <col min="5893" max="5893" width="8.83203125" style="12"/>
    <col min="5894" max="5894" width="7.33203125" style="12" customWidth="1"/>
    <col min="5895" max="5895" width="8.83203125" style="12"/>
    <col min="5896" max="5896" width="7" style="12" customWidth="1"/>
    <col min="5897" max="5897" width="8.83203125" style="12"/>
    <col min="5898" max="5898" width="5.33203125" style="12" customWidth="1"/>
    <col min="5899" max="5899" width="4.5" style="12" customWidth="1"/>
    <col min="5900" max="6141" width="8.83203125" style="12"/>
    <col min="6142" max="6142" width="18.6640625" style="12" customWidth="1"/>
    <col min="6143" max="6143" width="12.83203125" style="12" customWidth="1"/>
    <col min="6144" max="6148" width="12" style="12" customWidth="1"/>
    <col min="6149" max="6149" width="8.83203125" style="12"/>
    <col min="6150" max="6150" width="7.33203125" style="12" customWidth="1"/>
    <col min="6151" max="6151" width="8.83203125" style="12"/>
    <col min="6152" max="6152" width="7" style="12" customWidth="1"/>
    <col min="6153" max="6153" width="8.83203125" style="12"/>
    <col min="6154" max="6154" width="5.33203125" style="12" customWidth="1"/>
    <col min="6155" max="6155" width="4.5" style="12" customWidth="1"/>
    <col min="6156" max="6397" width="8.83203125" style="12"/>
    <col min="6398" max="6398" width="18.6640625" style="12" customWidth="1"/>
    <col min="6399" max="6399" width="12.83203125" style="12" customWidth="1"/>
    <col min="6400" max="6404" width="12" style="12" customWidth="1"/>
    <col min="6405" max="6405" width="8.83203125" style="12"/>
    <col min="6406" max="6406" width="7.33203125" style="12" customWidth="1"/>
    <col min="6407" max="6407" width="8.83203125" style="12"/>
    <col min="6408" max="6408" width="7" style="12" customWidth="1"/>
    <col min="6409" max="6409" width="8.83203125" style="12"/>
    <col min="6410" max="6410" width="5.33203125" style="12" customWidth="1"/>
    <col min="6411" max="6411" width="4.5" style="12" customWidth="1"/>
    <col min="6412" max="6653" width="8.83203125" style="12"/>
    <col min="6654" max="6654" width="18.6640625" style="12" customWidth="1"/>
    <col min="6655" max="6655" width="12.83203125" style="12" customWidth="1"/>
    <col min="6656" max="6660" width="12" style="12" customWidth="1"/>
    <col min="6661" max="6661" width="8.83203125" style="12"/>
    <col min="6662" max="6662" width="7.33203125" style="12" customWidth="1"/>
    <col min="6663" max="6663" width="8.83203125" style="12"/>
    <col min="6664" max="6664" width="7" style="12" customWidth="1"/>
    <col min="6665" max="6665" width="8.83203125" style="12"/>
    <col min="6666" max="6666" width="5.33203125" style="12" customWidth="1"/>
    <col min="6667" max="6667" width="4.5" style="12" customWidth="1"/>
    <col min="6668" max="6909" width="8.83203125" style="12"/>
    <col min="6910" max="6910" width="18.6640625" style="12" customWidth="1"/>
    <col min="6911" max="6911" width="12.83203125" style="12" customWidth="1"/>
    <col min="6912" max="6916" width="12" style="12" customWidth="1"/>
    <col min="6917" max="6917" width="8.83203125" style="12"/>
    <col min="6918" max="6918" width="7.33203125" style="12" customWidth="1"/>
    <col min="6919" max="6919" width="8.83203125" style="12"/>
    <col min="6920" max="6920" width="7" style="12" customWidth="1"/>
    <col min="6921" max="6921" width="8.83203125" style="12"/>
    <col min="6922" max="6922" width="5.33203125" style="12" customWidth="1"/>
    <col min="6923" max="6923" width="4.5" style="12" customWidth="1"/>
    <col min="6924" max="7165" width="8.83203125" style="12"/>
    <col min="7166" max="7166" width="18.6640625" style="12" customWidth="1"/>
    <col min="7167" max="7167" width="12.83203125" style="12" customWidth="1"/>
    <col min="7168" max="7172" width="12" style="12" customWidth="1"/>
    <col min="7173" max="7173" width="8.83203125" style="12"/>
    <col min="7174" max="7174" width="7.33203125" style="12" customWidth="1"/>
    <col min="7175" max="7175" width="8.83203125" style="12"/>
    <col min="7176" max="7176" width="7" style="12" customWidth="1"/>
    <col min="7177" max="7177" width="8.83203125" style="12"/>
    <col min="7178" max="7178" width="5.33203125" style="12" customWidth="1"/>
    <col min="7179" max="7179" width="4.5" style="12" customWidth="1"/>
    <col min="7180" max="7421" width="8.83203125" style="12"/>
    <col min="7422" max="7422" width="18.6640625" style="12" customWidth="1"/>
    <col min="7423" max="7423" width="12.83203125" style="12" customWidth="1"/>
    <col min="7424" max="7428" width="12" style="12" customWidth="1"/>
    <col min="7429" max="7429" width="8.83203125" style="12"/>
    <col min="7430" max="7430" width="7.33203125" style="12" customWidth="1"/>
    <col min="7431" max="7431" width="8.83203125" style="12"/>
    <col min="7432" max="7432" width="7" style="12" customWidth="1"/>
    <col min="7433" max="7433" width="8.83203125" style="12"/>
    <col min="7434" max="7434" width="5.33203125" style="12" customWidth="1"/>
    <col min="7435" max="7435" width="4.5" style="12" customWidth="1"/>
    <col min="7436" max="7677" width="8.83203125" style="12"/>
    <col min="7678" max="7678" width="18.6640625" style="12" customWidth="1"/>
    <col min="7679" max="7679" width="12.83203125" style="12" customWidth="1"/>
    <col min="7680" max="7684" width="12" style="12" customWidth="1"/>
    <col min="7685" max="7685" width="8.83203125" style="12"/>
    <col min="7686" max="7686" width="7.33203125" style="12" customWidth="1"/>
    <col min="7687" max="7687" width="8.83203125" style="12"/>
    <col min="7688" max="7688" width="7" style="12" customWidth="1"/>
    <col min="7689" max="7689" width="8.83203125" style="12"/>
    <col min="7690" max="7690" width="5.33203125" style="12" customWidth="1"/>
    <col min="7691" max="7691" width="4.5" style="12" customWidth="1"/>
    <col min="7692" max="7933" width="8.83203125" style="12"/>
    <col min="7934" max="7934" width="18.6640625" style="12" customWidth="1"/>
    <col min="7935" max="7935" width="12.83203125" style="12" customWidth="1"/>
    <col min="7936" max="7940" width="12" style="12" customWidth="1"/>
    <col min="7941" max="7941" width="8.83203125" style="12"/>
    <col min="7942" max="7942" width="7.33203125" style="12" customWidth="1"/>
    <col min="7943" max="7943" width="8.83203125" style="12"/>
    <col min="7944" max="7944" width="7" style="12" customWidth="1"/>
    <col min="7945" max="7945" width="8.83203125" style="12"/>
    <col min="7946" max="7946" width="5.33203125" style="12" customWidth="1"/>
    <col min="7947" max="7947" width="4.5" style="12" customWidth="1"/>
    <col min="7948" max="8189" width="8.83203125" style="12"/>
    <col min="8190" max="8190" width="18.6640625" style="12" customWidth="1"/>
    <col min="8191" max="8191" width="12.83203125" style="12" customWidth="1"/>
    <col min="8192" max="8196" width="12" style="12" customWidth="1"/>
    <col min="8197" max="8197" width="8.83203125" style="12"/>
    <col min="8198" max="8198" width="7.33203125" style="12" customWidth="1"/>
    <col min="8199" max="8199" width="8.83203125" style="12"/>
    <col min="8200" max="8200" width="7" style="12" customWidth="1"/>
    <col min="8201" max="8201" width="8.83203125" style="12"/>
    <col min="8202" max="8202" width="5.33203125" style="12" customWidth="1"/>
    <col min="8203" max="8203" width="4.5" style="12" customWidth="1"/>
    <col min="8204" max="8445" width="8.83203125" style="12"/>
    <col min="8446" max="8446" width="18.6640625" style="12" customWidth="1"/>
    <col min="8447" max="8447" width="12.83203125" style="12" customWidth="1"/>
    <col min="8448" max="8452" width="12" style="12" customWidth="1"/>
    <col min="8453" max="8453" width="8.83203125" style="12"/>
    <col min="8454" max="8454" width="7.33203125" style="12" customWidth="1"/>
    <col min="8455" max="8455" width="8.83203125" style="12"/>
    <col min="8456" max="8456" width="7" style="12" customWidth="1"/>
    <col min="8457" max="8457" width="8.83203125" style="12"/>
    <col min="8458" max="8458" width="5.33203125" style="12" customWidth="1"/>
    <col min="8459" max="8459" width="4.5" style="12" customWidth="1"/>
    <col min="8460" max="8701" width="8.83203125" style="12"/>
    <col min="8702" max="8702" width="18.6640625" style="12" customWidth="1"/>
    <col min="8703" max="8703" width="12.83203125" style="12" customWidth="1"/>
    <col min="8704" max="8708" width="12" style="12" customWidth="1"/>
    <col min="8709" max="8709" width="8.83203125" style="12"/>
    <col min="8710" max="8710" width="7.33203125" style="12" customWidth="1"/>
    <col min="8711" max="8711" width="8.83203125" style="12"/>
    <col min="8712" max="8712" width="7" style="12" customWidth="1"/>
    <col min="8713" max="8713" width="8.83203125" style="12"/>
    <col min="8714" max="8714" width="5.33203125" style="12" customWidth="1"/>
    <col min="8715" max="8715" width="4.5" style="12" customWidth="1"/>
    <col min="8716" max="8957" width="8.83203125" style="12"/>
    <col min="8958" max="8958" width="18.6640625" style="12" customWidth="1"/>
    <col min="8959" max="8959" width="12.83203125" style="12" customWidth="1"/>
    <col min="8960" max="8964" width="12" style="12" customWidth="1"/>
    <col min="8965" max="8965" width="8.83203125" style="12"/>
    <col min="8966" max="8966" width="7.33203125" style="12" customWidth="1"/>
    <col min="8967" max="8967" width="8.83203125" style="12"/>
    <col min="8968" max="8968" width="7" style="12" customWidth="1"/>
    <col min="8969" max="8969" width="8.83203125" style="12"/>
    <col min="8970" max="8970" width="5.33203125" style="12" customWidth="1"/>
    <col min="8971" max="8971" width="4.5" style="12" customWidth="1"/>
    <col min="8972" max="9213" width="8.83203125" style="12"/>
    <col min="9214" max="9214" width="18.6640625" style="12" customWidth="1"/>
    <col min="9215" max="9215" width="12.83203125" style="12" customWidth="1"/>
    <col min="9216" max="9220" width="12" style="12" customWidth="1"/>
    <col min="9221" max="9221" width="8.83203125" style="12"/>
    <col min="9222" max="9222" width="7.33203125" style="12" customWidth="1"/>
    <col min="9223" max="9223" width="8.83203125" style="12"/>
    <col min="9224" max="9224" width="7" style="12" customWidth="1"/>
    <col min="9225" max="9225" width="8.83203125" style="12"/>
    <col min="9226" max="9226" width="5.33203125" style="12" customWidth="1"/>
    <col min="9227" max="9227" width="4.5" style="12" customWidth="1"/>
    <col min="9228" max="9469" width="8.83203125" style="12"/>
    <col min="9470" max="9470" width="18.6640625" style="12" customWidth="1"/>
    <col min="9471" max="9471" width="12.83203125" style="12" customWidth="1"/>
    <col min="9472" max="9476" width="12" style="12" customWidth="1"/>
    <col min="9477" max="9477" width="8.83203125" style="12"/>
    <col min="9478" max="9478" width="7.33203125" style="12" customWidth="1"/>
    <col min="9479" max="9479" width="8.83203125" style="12"/>
    <col min="9480" max="9480" width="7" style="12" customWidth="1"/>
    <col min="9481" max="9481" width="8.83203125" style="12"/>
    <col min="9482" max="9482" width="5.33203125" style="12" customWidth="1"/>
    <col min="9483" max="9483" width="4.5" style="12" customWidth="1"/>
    <col min="9484" max="9725" width="8.83203125" style="12"/>
    <col min="9726" max="9726" width="18.6640625" style="12" customWidth="1"/>
    <col min="9727" max="9727" width="12.83203125" style="12" customWidth="1"/>
    <col min="9728" max="9732" width="12" style="12" customWidth="1"/>
    <col min="9733" max="9733" width="8.83203125" style="12"/>
    <col min="9734" max="9734" width="7.33203125" style="12" customWidth="1"/>
    <col min="9735" max="9735" width="8.83203125" style="12"/>
    <col min="9736" max="9736" width="7" style="12" customWidth="1"/>
    <col min="9737" max="9737" width="8.83203125" style="12"/>
    <col min="9738" max="9738" width="5.33203125" style="12" customWidth="1"/>
    <col min="9739" max="9739" width="4.5" style="12" customWidth="1"/>
    <col min="9740" max="9981" width="8.83203125" style="12"/>
    <col min="9982" max="9982" width="18.6640625" style="12" customWidth="1"/>
    <col min="9983" max="9983" width="12.83203125" style="12" customWidth="1"/>
    <col min="9984" max="9988" width="12" style="12" customWidth="1"/>
    <col min="9989" max="9989" width="8.83203125" style="12"/>
    <col min="9990" max="9990" width="7.33203125" style="12" customWidth="1"/>
    <col min="9991" max="9991" width="8.83203125" style="12"/>
    <col min="9992" max="9992" width="7" style="12" customWidth="1"/>
    <col min="9993" max="9993" width="8.83203125" style="12"/>
    <col min="9994" max="9994" width="5.33203125" style="12" customWidth="1"/>
    <col min="9995" max="9995" width="4.5" style="12" customWidth="1"/>
    <col min="9996" max="10237" width="8.83203125" style="12"/>
    <col min="10238" max="10238" width="18.6640625" style="12" customWidth="1"/>
    <col min="10239" max="10239" width="12.83203125" style="12" customWidth="1"/>
    <col min="10240" max="10244" width="12" style="12" customWidth="1"/>
    <col min="10245" max="10245" width="8.83203125" style="12"/>
    <col min="10246" max="10246" width="7.33203125" style="12" customWidth="1"/>
    <col min="10247" max="10247" width="8.83203125" style="12"/>
    <col min="10248" max="10248" width="7" style="12" customWidth="1"/>
    <col min="10249" max="10249" width="8.83203125" style="12"/>
    <col min="10250" max="10250" width="5.33203125" style="12" customWidth="1"/>
    <col min="10251" max="10251" width="4.5" style="12" customWidth="1"/>
    <col min="10252" max="10493" width="8.83203125" style="12"/>
    <col min="10494" max="10494" width="18.6640625" style="12" customWidth="1"/>
    <col min="10495" max="10495" width="12.83203125" style="12" customWidth="1"/>
    <col min="10496" max="10500" width="12" style="12" customWidth="1"/>
    <col min="10501" max="10501" width="8.83203125" style="12"/>
    <col min="10502" max="10502" width="7.33203125" style="12" customWidth="1"/>
    <col min="10503" max="10503" width="8.83203125" style="12"/>
    <col min="10504" max="10504" width="7" style="12" customWidth="1"/>
    <col min="10505" max="10505" width="8.83203125" style="12"/>
    <col min="10506" max="10506" width="5.33203125" style="12" customWidth="1"/>
    <col min="10507" max="10507" width="4.5" style="12" customWidth="1"/>
    <col min="10508" max="10749" width="8.83203125" style="12"/>
    <col min="10750" max="10750" width="18.6640625" style="12" customWidth="1"/>
    <col min="10751" max="10751" width="12.83203125" style="12" customWidth="1"/>
    <col min="10752" max="10756" width="12" style="12" customWidth="1"/>
    <col min="10757" max="10757" width="8.83203125" style="12"/>
    <col min="10758" max="10758" width="7.33203125" style="12" customWidth="1"/>
    <col min="10759" max="10759" width="8.83203125" style="12"/>
    <col min="10760" max="10760" width="7" style="12" customWidth="1"/>
    <col min="10761" max="10761" width="8.83203125" style="12"/>
    <col min="10762" max="10762" width="5.33203125" style="12" customWidth="1"/>
    <col min="10763" max="10763" width="4.5" style="12" customWidth="1"/>
    <col min="10764" max="11005" width="8.83203125" style="12"/>
    <col min="11006" max="11006" width="18.6640625" style="12" customWidth="1"/>
    <col min="11007" max="11007" width="12.83203125" style="12" customWidth="1"/>
    <col min="11008" max="11012" width="12" style="12" customWidth="1"/>
    <col min="11013" max="11013" width="8.83203125" style="12"/>
    <col min="11014" max="11014" width="7.33203125" style="12" customWidth="1"/>
    <col min="11015" max="11015" width="8.83203125" style="12"/>
    <col min="11016" max="11016" width="7" style="12" customWidth="1"/>
    <col min="11017" max="11017" width="8.83203125" style="12"/>
    <col min="11018" max="11018" width="5.33203125" style="12" customWidth="1"/>
    <col min="11019" max="11019" width="4.5" style="12" customWidth="1"/>
    <col min="11020" max="11261" width="8.83203125" style="12"/>
    <col min="11262" max="11262" width="18.6640625" style="12" customWidth="1"/>
    <col min="11263" max="11263" width="12.83203125" style="12" customWidth="1"/>
    <col min="11264" max="11268" width="12" style="12" customWidth="1"/>
    <col min="11269" max="11269" width="8.83203125" style="12"/>
    <col min="11270" max="11270" width="7.33203125" style="12" customWidth="1"/>
    <col min="11271" max="11271" width="8.83203125" style="12"/>
    <col min="11272" max="11272" width="7" style="12" customWidth="1"/>
    <col min="11273" max="11273" width="8.83203125" style="12"/>
    <col min="11274" max="11274" width="5.33203125" style="12" customWidth="1"/>
    <col min="11275" max="11275" width="4.5" style="12" customWidth="1"/>
    <col min="11276" max="11517" width="8.83203125" style="12"/>
    <col min="11518" max="11518" width="18.6640625" style="12" customWidth="1"/>
    <col min="11519" max="11519" width="12.83203125" style="12" customWidth="1"/>
    <col min="11520" max="11524" width="12" style="12" customWidth="1"/>
    <col min="11525" max="11525" width="8.83203125" style="12"/>
    <col min="11526" max="11526" width="7.33203125" style="12" customWidth="1"/>
    <col min="11527" max="11527" width="8.83203125" style="12"/>
    <col min="11528" max="11528" width="7" style="12" customWidth="1"/>
    <col min="11529" max="11529" width="8.83203125" style="12"/>
    <col min="11530" max="11530" width="5.33203125" style="12" customWidth="1"/>
    <col min="11531" max="11531" width="4.5" style="12" customWidth="1"/>
    <col min="11532" max="11773" width="8.83203125" style="12"/>
    <col min="11774" max="11774" width="18.6640625" style="12" customWidth="1"/>
    <col min="11775" max="11775" width="12.83203125" style="12" customWidth="1"/>
    <col min="11776" max="11780" width="12" style="12" customWidth="1"/>
    <col min="11781" max="11781" width="8.83203125" style="12"/>
    <col min="11782" max="11782" width="7.33203125" style="12" customWidth="1"/>
    <col min="11783" max="11783" width="8.83203125" style="12"/>
    <col min="11784" max="11784" width="7" style="12" customWidth="1"/>
    <col min="11785" max="11785" width="8.83203125" style="12"/>
    <col min="11786" max="11786" width="5.33203125" style="12" customWidth="1"/>
    <col min="11787" max="11787" width="4.5" style="12" customWidth="1"/>
    <col min="11788" max="12029" width="8.83203125" style="12"/>
    <col min="12030" max="12030" width="18.6640625" style="12" customWidth="1"/>
    <col min="12031" max="12031" width="12.83203125" style="12" customWidth="1"/>
    <col min="12032" max="12036" width="12" style="12" customWidth="1"/>
    <col min="12037" max="12037" width="8.83203125" style="12"/>
    <col min="12038" max="12038" width="7.33203125" style="12" customWidth="1"/>
    <col min="12039" max="12039" width="8.83203125" style="12"/>
    <col min="12040" max="12040" width="7" style="12" customWidth="1"/>
    <col min="12041" max="12041" width="8.83203125" style="12"/>
    <col min="12042" max="12042" width="5.33203125" style="12" customWidth="1"/>
    <col min="12043" max="12043" width="4.5" style="12" customWidth="1"/>
    <col min="12044" max="12285" width="8.83203125" style="12"/>
    <col min="12286" max="12286" width="18.6640625" style="12" customWidth="1"/>
    <col min="12287" max="12287" width="12.83203125" style="12" customWidth="1"/>
    <col min="12288" max="12292" width="12" style="12" customWidth="1"/>
    <col min="12293" max="12293" width="8.83203125" style="12"/>
    <col min="12294" max="12294" width="7.33203125" style="12" customWidth="1"/>
    <col min="12295" max="12295" width="8.83203125" style="12"/>
    <col min="12296" max="12296" width="7" style="12" customWidth="1"/>
    <col min="12297" max="12297" width="8.83203125" style="12"/>
    <col min="12298" max="12298" width="5.33203125" style="12" customWidth="1"/>
    <col min="12299" max="12299" width="4.5" style="12" customWidth="1"/>
    <col min="12300" max="12541" width="8.83203125" style="12"/>
    <col min="12542" max="12542" width="18.6640625" style="12" customWidth="1"/>
    <col min="12543" max="12543" width="12.83203125" style="12" customWidth="1"/>
    <col min="12544" max="12548" width="12" style="12" customWidth="1"/>
    <col min="12549" max="12549" width="8.83203125" style="12"/>
    <col min="12550" max="12550" width="7.33203125" style="12" customWidth="1"/>
    <col min="12551" max="12551" width="8.83203125" style="12"/>
    <col min="12552" max="12552" width="7" style="12" customWidth="1"/>
    <col min="12553" max="12553" width="8.83203125" style="12"/>
    <col min="12554" max="12554" width="5.33203125" style="12" customWidth="1"/>
    <col min="12555" max="12555" width="4.5" style="12" customWidth="1"/>
    <col min="12556" max="12797" width="8.83203125" style="12"/>
    <col min="12798" max="12798" width="18.6640625" style="12" customWidth="1"/>
    <col min="12799" max="12799" width="12.83203125" style="12" customWidth="1"/>
    <col min="12800" max="12804" width="12" style="12" customWidth="1"/>
    <col min="12805" max="12805" width="8.83203125" style="12"/>
    <col min="12806" max="12806" width="7.33203125" style="12" customWidth="1"/>
    <col min="12807" max="12807" width="8.83203125" style="12"/>
    <col min="12808" max="12808" width="7" style="12" customWidth="1"/>
    <col min="12809" max="12809" width="8.83203125" style="12"/>
    <col min="12810" max="12810" width="5.33203125" style="12" customWidth="1"/>
    <col min="12811" max="12811" width="4.5" style="12" customWidth="1"/>
    <col min="12812" max="13053" width="8.83203125" style="12"/>
    <col min="13054" max="13054" width="18.6640625" style="12" customWidth="1"/>
    <col min="13055" max="13055" width="12.83203125" style="12" customWidth="1"/>
    <col min="13056" max="13060" width="12" style="12" customWidth="1"/>
    <col min="13061" max="13061" width="8.83203125" style="12"/>
    <col min="13062" max="13062" width="7.33203125" style="12" customWidth="1"/>
    <col min="13063" max="13063" width="8.83203125" style="12"/>
    <col min="13064" max="13064" width="7" style="12" customWidth="1"/>
    <col min="13065" max="13065" width="8.83203125" style="12"/>
    <col min="13066" max="13066" width="5.33203125" style="12" customWidth="1"/>
    <col min="13067" max="13067" width="4.5" style="12" customWidth="1"/>
    <col min="13068" max="13309" width="8.83203125" style="12"/>
    <col min="13310" max="13310" width="18.6640625" style="12" customWidth="1"/>
    <col min="13311" max="13311" width="12.83203125" style="12" customWidth="1"/>
    <col min="13312" max="13316" width="12" style="12" customWidth="1"/>
    <col min="13317" max="13317" width="8.83203125" style="12"/>
    <col min="13318" max="13318" width="7.33203125" style="12" customWidth="1"/>
    <col min="13319" max="13319" width="8.83203125" style="12"/>
    <col min="13320" max="13320" width="7" style="12" customWidth="1"/>
    <col min="13321" max="13321" width="8.83203125" style="12"/>
    <col min="13322" max="13322" width="5.33203125" style="12" customWidth="1"/>
    <col min="13323" max="13323" width="4.5" style="12" customWidth="1"/>
    <col min="13324" max="13565" width="8.83203125" style="12"/>
    <col min="13566" max="13566" width="18.6640625" style="12" customWidth="1"/>
    <col min="13567" max="13567" width="12.83203125" style="12" customWidth="1"/>
    <col min="13568" max="13572" width="12" style="12" customWidth="1"/>
    <col min="13573" max="13573" width="8.83203125" style="12"/>
    <col min="13574" max="13574" width="7.33203125" style="12" customWidth="1"/>
    <col min="13575" max="13575" width="8.83203125" style="12"/>
    <col min="13576" max="13576" width="7" style="12" customWidth="1"/>
    <col min="13577" max="13577" width="8.83203125" style="12"/>
    <col min="13578" max="13578" width="5.33203125" style="12" customWidth="1"/>
    <col min="13579" max="13579" width="4.5" style="12" customWidth="1"/>
    <col min="13580" max="13821" width="8.83203125" style="12"/>
    <col min="13822" max="13822" width="18.6640625" style="12" customWidth="1"/>
    <col min="13823" max="13823" width="12.83203125" style="12" customWidth="1"/>
    <col min="13824" max="13828" width="12" style="12" customWidth="1"/>
    <col min="13829" max="13829" width="8.83203125" style="12"/>
    <col min="13830" max="13830" width="7.33203125" style="12" customWidth="1"/>
    <col min="13831" max="13831" width="8.83203125" style="12"/>
    <col min="13832" max="13832" width="7" style="12" customWidth="1"/>
    <col min="13833" max="13833" width="8.83203125" style="12"/>
    <col min="13834" max="13834" width="5.33203125" style="12" customWidth="1"/>
    <col min="13835" max="13835" width="4.5" style="12" customWidth="1"/>
    <col min="13836" max="14077" width="8.83203125" style="12"/>
    <col min="14078" max="14078" width="18.6640625" style="12" customWidth="1"/>
    <col min="14079" max="14079" width="12.83203125" style="12" customWidth="1"/>
    <col min="14080" max="14084" width="12" style="12" customWidth="1"/>
    <col min="14085" max="14085" width="8.83203125" style="12"/>
    <col min="14086" max="14086" width="7.33203125" style="12" customWidth="1"/>
    <col min="14087" max="14087" width="8.83203125" style="12"/>
    <col min="14088" max="14088" width="7" style="12" customWidth="1"/>
    <col min="14089" max="14089" width="8.83203125" style="12"/>
    <col min="14090" max="14090" width="5.33203125" style="12" customWidth="1"/>
    <col min="14091" max="14091" width="4.5" style="12" customWidth="1"/>
    <col min="14092" max="14333" width="8.83203125" style="12"/>
    <col min="14334" max="14334" width="18.6640625" style="12" customWidth="1"/>
    <col min="14335" max="14335" width="12.83203125" style="12" customWidth="1"/>
    <col min="14336" max="14340" width="12" style="12" customWidth="1"/>
    <col min="14341" max="14341" width="8.83203125" style="12"/>
    <col min="14342" max="14342" width="7.33203125" style="12" customWidth="1"/>
    <col min="14343" max="14343" width="8.83203125" style="12"/>
    <col min="14344" max="14344" width="7" style="12" customWidth="1"/>
    <col min="14345" max="14345" width="8.83203125" style="12"/>
    <col min="14346" max="14346" width="5.33203125" style="12" customWidth="1"/>
    <col min="14347" max="14347" width="4.5" style="12" customWidth="1"/>
    <col min="14348" max="14589" width="8.83203125" style="12"/>
    <col min="14590" max="14590" width="18.6640625" style="12" customWidth="1"/>
    <col min="14591" max="14591" width="12.83203125" style="12" customWidth="1"/>
    <col min="14592" max="14596" width="12" style="12" customWidth="1"/>
    <col min="14597" max="14597" width="8.83203125" style="12"/>
    <col min="14598" max="14598" width="7.33203125" style="12" customWidth="1"/>
    <col min="14599" max="14599" width="8.83203125" style="12"/>
    <col min="14600" max="14600" width="7" style="12" customWidth="1"/>
    <col min="14601" max="14601" width="8.83203125" style="12"/>
    <col min="14602" max="14602" width="5.33203125" style="12" customWidth="1"/>
    <col min="14603" max="14603" width="4.5" style="12" customWidth="1"/>
    <col min="14604" max="14845" width="8.83203125" style="12"/>
    <col min="14846" max="14846" width="18.6640625" style="12" customWidth="1"/>
    <col min="14847" max="14847" width="12.83203125" style="12" customWidth="1"/>
    <col min="14848" max="14852" width="12" style="12" customWidth="1"/>
    <col min="14853" max="14853" width="8.83203125" style="12"/>
    <col min="14854" max="14854" width="7.33203125" style="12" customWidth="1"/>
    <col min="14855" max="14855" width="8.83203125" style="12"/>
    <col min="14856" max="14856" width="7" style="12" customWidth="1"/>
    <col min="14857" max="14857" width="8.83203125" style="12"/>
    <col min="14858" max="14858" width="5.33203125" style="12" customWidth="1"/>
    <col min="14859" max="14859" width="4.5" style="12" customWidth="1"/>
    <col min="14860" max="15101" width="8.83203125" style="12"/>
    <col min="15102" max="15102" width="18.6640625" style="12" customWidth="1"/>
    <col min="15103" max="15103" width="12.83203125" style="12" customWidth="1"/>
    <col min="15104" max="15108" width="12" style="12" customWidth="1"/>
    <col min="15109" max="15109" width="8.83203125" style="12"/>
    <col min="15110" max="15110" width="7.33203125" style="12" customWidth="1"/>
    <col min="15111" max="15111" width="8.83203125" style="12"/>
    <col min="15112" max="15112" width="7" style="12" customWidth="1"/>
    <col min="15113" max="15113" width="8.83203125" style="12"/>
    <col min="15114" max="15114" width="5.33203125" style="12" customWidth="1"/>
    <col min="15115" max="15115" width="4.5" style="12" customWidth="1"/>
    <col min="15116" max="15357" width="8.83203125" style="12"/>
    <col min="15358" max="15358" width="18.6640625" style="12" customWidth="1"/>
    <col min="15359" max="15359" width="12.83203125" style="12" customWidth="1"/>
    <col min="15360" max="15364" width="12" style="12" customWidth="1"/>
    <col min="15365" max="15365" width="8.83203125" style="12"/>
    <col min="15366" max="15366" width="7.33203125" style="12" customWidth="1"/>
    <col min="15367" max="15367" width="8.83203125" style="12"/>
    <col min="15368" max="15368" width="7" style="12" customWidth="1"/>
    <col min="15369" max="15369" width="8.83203125" style="12"/>
    <col min="15370" max="15370" width="5.33203125" style="12" customWidth="1"/>
    <col min="15371" max="15371" width="4.5" style="12" customWidth="1"/>
    <col min="15372" max="15613" width="8.83203125" style="12"/>
    <col min="15614" max="15614" width="18.6640625" style="12" customWidth="1"/>
    <col min="15615" max="15615" width="12.83203125" style="12" customWidth="1"/>
    <col min="15616" max="15620" width="12" style="12" customWidth="1"/>
    <col min="15621" max="15621" width="8.83203125" style="12"/>
    <col min="15622" max="15622" width="7.33203125" style="12" customWidth="1"/>
    <col min="15623" max="15623" width="8.83203125" style="12"/>
    <col min="15624" max="15624" width="7" style="12" customWidth="1"/>
    <col min="15625" max="15625" width="8.83203125" style="12"/>
    <col min="15626" max="15626" width="5.33203125" style="12" customWidth="1"/>
    <col min="15627" max="15627" width="4.5" style="12" customWidth="1"/>
    <col min="15628" max="15869" width="8.83203125" style="12"/>
    <col min="15870" max="15870" width="18.6640625" style="12" customWidth="1"/>
    <col min="15871" max="15871" width="12.83203125" style="12" customWidth="1"/>
    <col min="15872" max="15876" width="12" style="12" customWidth="1"/>
    <col min="15877" max="15877" width="8.83203125" style="12"/>
    <col min="15878" max="15878" width="7.33203125" style="12" customWidth="1"/>
    <col min="15879" max="15879" width="8.83203125" style="12"/>
    <col min="15880" max="15880" width="7" style="12" customWidth="1"/>
    <col min="15881" max="15881" width="8.83203125" style="12"/>
    <col min="15882" max="15882" width="5.33203125" style="12" customWidth="1"/>
    <col min="15883" max="15883" width="4.5" style="12" customWidth="1"/>
    <col min="15884" max="16125" width="8.83203125" style="12"/>
    <col min="16126" max="16126" width="18.6640625" style="12" customWidth="1"/>
    <col min="16127" max="16127" width="12.83203125" style="12" customWidth="1"/>
    <col min="16128" max="16132" width="12" style="12" customWidth="1"/>
    <col min="16133" max="16133" width="8.83203125" style="12"/>
    <col min="16134" max="16134" width="7.33203125" style="12" customWidth="1"/>
    <col min="16135" max="16135" width="8.83203125" style="12"/>
    <col min="16136" max="16136" width="7" style="12" customWidth="1"/>
    <col min="16137" max="16137" width="8.83203125" style="12"/>
    <col min="16138" max="16138" width="5.33203125" style="12" customWidth="1"/>
    <col min="16139" max="16139" width="4.5" style="12" customWidth="1"/>
    <col min="16140" max="16384" width="8.83203125" style="12"/>
  </cols>
  <sheetData>
    <row r="1" spans="1:20" ht="31.5" customHeight="1" thickBot="1" x14ac:dyDescent="0.2">
      <c r="A1" s="118" t="s">
        <v>45</v>
      </c>
      <c r="B1" s="119"/>
      <c r="C1" s="119"/>
      <c r="D1" s="119"/>
      <c r="E1" s="119"/>
      <c r="F1" s="119"/>
      <c r="G1" s="119"/>
      <c r="H1" s="119"/>
      <c r="I1" s="120"/>
      <c r="L1" s="12" t="s">
        <v>44</v>
      </c>
      <c r="O1" s="12" t="s">
        <v>44</v>
      </c>
    </row>
    <row r="2" spans="1:20" ht="24.75" customHeight="1" thickBot="1" x14ac:dyDescent="0.2">
      <c r="A2" s="51" t="s">
        <v>60</v>
      </c>
      <c r="B2" s="52" t="s">
        <v>61</v>
      </c>
      <c r="C2" s="53"/>
      <c r="D2" s="54" t="s">
        <v>57</v>
      </c>
      <c r="E2" s="55"/>
      <c r="F2" s="56"/>
      <c r="G2" s="54" t="s">
        <v>58</v>
      </c>
      <c r="H2" s="55"/>
      <c r="I2" s="57"/>
    </row>
    <row r="3" spans="1:20" ht="20" customHeight="1" x14ac:dyDescent="0.15">
      <c r="A3" s="58" t="s">
        <v>53</v>
      </c>
      <c r="B3" s="59">
        <v>495</v>
      </c>
      <c r="C3" s="60"/>
      <c r="D3" s="61" t="s">
        <v>54</v>
      </c>
      <c r="E3" s="62"/>
      <c r="F3" s="62"/>
      <c r="G3" s="62">
        <v>355</v>
      </c>
      <c r="H3" s="62"/>
      <c r="I3" s="63"/>
    </row>
    <row r="4" spans="1:20" ht="20" customHeight="1" x14ac:dyDescent="0.15">
      <c r="A4" s="13" t="s">
        <v>0</v>
      </c>
      <c r="B4" s="22">
        <v>6</v>
      </c>
      <c r="C4" s="47" t="s">
        <v>51</v>
      </c>
      <c r="D4" s="61" t="s">
        <v>52</v>
      </c>
      <c r="E4" s="62"/>
      <c r="F4" s="62"/>
      <c r="G4" s="62">
        <v>1655</v>
      </c>
      <c r="H4" s="62"/>
      <c r="I4" s="63"/>
    </row>
    <row r="5" spans="1:20" ht="20" customHeight="1" thickBot="1" x14ac:dyDescent="0.2">
      <c r="A5" s="48" t="s">
        <v>1</v>
      </c>
      <c r="B5" s="49"/>
      <c r="C5" s="50"/>
      <c r="D5" s="61" t="s">
        <v>55</v>
      </c>
      <c r="E5" s="62"/>
      <c r="F5" s="62"/>
      <c r="G5" s="62" t="s">
        <v>59</v>
      </c>
      <c r="H5" s="62"/>
      <c r="I5" s="63"/>
    </row>
    <row r="6" spans="1:20" ht="18.75" customHeight="1" thickBot="1" x14ac:dyDescent="0.2">
      <c r="A6" s="121" t="s">
        <v>2</v>
      </c>
      <c r="B6" s="122"/>
      <c r="C6" s="122"/>
      <c r="D6" s="122"/>
      <c r="E6" s="122"/>
      <c r="F6" s="122"/>
      <c r="G6" s="122"/>
      <c r="H6" s="122"/>
      <c r="I6" s="123"/>
      <c r="T6" s="12" t="s">
        <v>44</v>
      </c>
    </row>
    <row r="7" spans="1:20" ht="18.75" customHeight="1" thickBot="1" x14ac:dyDescent="0.2">
      <c r="A7" s="37" t="s">
        <v>3</v>
      </c>
      <c r="B7" s="38" t="s">
        <v>4</v>
      </c>
      <c r="C7" s="38" t="s">
        <v>5</v>
      </c>
      <c r="D7" s="38" t="s">
        <v>6</v>
      </c>
      <c r="E7" s="38" t="s">
        <v>7</v>
      </c>
      <c r="F7" s="64" t="s">
        <v>8</v>
      </c>
      <c r="G7" s="65"/>
      <c r="H7" s="66" t="s">
        <v>3</v>
      </c>
      <c r="I7" s="67"/>
    </row>
    <row r="8" spans="1:20" ht="18.75" customHeight="1" x14ac:dyDescent="0.15">
      <c r="A8" s="44">
        <v>58.35</v>
      </c>
      <c r="B8" s="85">
        <v>1028</v>
      </c>
      <c r="C8" s="90">
        <v>1091</v>
      </c>
      <c r="D8" s="85">
        <v>1041</v>
      </c>
      <c r="E8" s="80">
        <v>1012</v>
      </c>
      <c r="F8" s="124">
        <f>AVERAGE(B8:E8)</f>
        <v>1043</v>
      </c>
      <c r="G8" s="125"/>
      <c r="H8" s="126" t="s">
        <v>42</v>
      </c>
      <c r="I8" s="127"/>
    </row>
    <row r="9" spans="1:20" ht="18.75" customHeight="1" x14ac:dyDescent="0.15">
      <c r="A9" s="25">
        <v>49.2</v>
      </c>
      <c r="B9" s="86">
        <v>1139</v>
      </c>
      <c r="C9" s="83">
        <v>1142</v>
      </c>
      <c r="D9" s="81">
        <v>1103</v>
      </c>
      <c r="E9" s="86">
        <v>1120</v>
      </c>
      <c r="F9" s="103">
        <f t="shared" ref="F9:F16" si="0">AVERAGE(B9:E9)</f>
        <v>1126</v>
      </c>
      <c r="G9" s="104"/>
      <c r="H9" s="105" t="s">
        <v>36</v>
      </c>
      <c r="I9" s="106"/>
    </row>
    <row r="10" spans="1:20" ht="18.75" customHeight="1" x14ac:dyDescent="0.15">
      <c r="A10" s="25">
        <v>46.2</v>
      </c>
      <c r="B10" s="86">
        <v>1185</v>
      </c>
      <c r="C10" s="83">
        <v>1198</v>
      </c>
      <c r="D10" s="81">
        <v>1176</v>
      </c>
      <c r="E10" s="86">
        <v>1179</v>
      </c>
      <c r="F10" s="103">
        <f t="shared" si="0"/>
        <v>1184.5</v>
      </c>
      <c r="G10" s="104"/>
      <c r="H10" s="105" t="s">
        <v>35</v>
      </c>
      <c r="I10" s="106"/>
    </row>
    <row r="11" spans="1:20" ht="18.75" customHeight="1" x14ac:dyDescent="0.15">
      <c r="A11" s="25">
        <v>42.2</v>
      </c>
      <c r="B11" s="83">
        <v>1221</v>
      </c>
      <c r="C11" s="87">
        <v>1217</v>
      </c>
      <c r="D11" s="81">
        <v>1181</v>
      </c>
      <c r="E11" s="86">
        <v>1190</v>
      </c>
      <c r="F11" s="103">
        <f t="shared" si="0"/>
        <v>1202.25</v>
      </c>
      <c r="G11" s="104"/>
      <c r="H11" s="105" t="s">
        <v>34</v>
      </c>
      <c r="I11" s="106"/>
    </row>
    <row r="12" spans="1:20" ht="18.75" customHeight="1" x14ac:dyDescent="0.15">
      <c r="A12" s="25">
        <v>38.65</v>
      </c>
      <c r="B12" s="86">
        <v>1172</v>
      </c>
      <c r="C12" s="89">
        <v>1193</v>
      </c>
      <c r="D12" s="81">
        <v>1156</v>
      </c>
      <c r="E12" s="86">
        <v>1166</v>
      </c>
      <c r="F12" s="103">
        <f t="shared" si="0"/>
        <v>1171.75</v>
      </c>
      <c r="G12" s="104"/>
      <c r="H12" s="105" t="s">
        <v>33</v>
      </c>
      <c r="I12" s="106"/>
      <c r="T12" s="12" t="s">
        <v>44</v>
      </c>
    </row>
    <row r="13" spans="1:20" ht="18.75" customHeight="1" x14ac:dyDescent="0.15">
      <c r="A13" s="24">
        <v>35</v>
      </c>
      <c r="B13" s="86">
        <v>1138</v>
      </c>
      <c r="C13" s="89">
        <v>1151</v>
      </c>
      <c r="D13" s="81">
        <v>1122</v>
      </c>
      <c r="E13" s="86">
        <v>1125</v>
      </c>
      <c r="F13" s="103">
        <f t="shared" si="0"/>
        <v>1134</v>
      </c>
      <c r="G13" s="104"/>
      <c r="H13" s="105" t="s">
        <v>32</v>
      </c>
      <c r="I13" s="106"/>
    </row>
    <row r="14" spans="1:20" ht="18.75" customHeight="1" x14ac:dyDescent="0.15">
      <c r="A14" s="23">
        <v>31.4</v>
      </c>
      <c r="B14" s="83">
        <v>1072</v>
      </c>
      <c r="C14" s="86">
        <v>1060</v>
      </c>
      <c r="D14" s="81">
        <v>1041</v>
      </c>
      <c r="E14" s="86">
        <v>1062</v>
      </c>
      <c r="F14" s="103">
        <f t="shared" si="0"/>
        <v>1058.75</v>
      </c>
      <c r="G14" s="104"/>
      <c r="H14" s="105" t="s">
        <v>31</v>
      </c>
      <c r="I14" s="106"/>
    </row>
    <row r="15" spans="1:20" ht="18.75" customHeight="1" x14ac:dyDescent="0.15">
      <c r="A15" s="23">
        <v>27.8</v>
      </c>
      <c r="B15" s="86">
        <v>1028</v>
      </c>
      <c r="C15" s="83">
        <v>1035</v>
      </c>
      <c r="D15" s="81">
        <v>1016</v>
      </c>
      <c r="E15" s="86">
        <v>1024</v>
      </c>
      <c r="F15" s="103">
        <f t="shared" si="0"/>
        <v>1025.75</v>
      </c>
      <c r="G15" s="104"/>
      <c r="H15" s="105" t="s">
        <v>30</v>
      </c>
      <c r="I15" s="106"/>
    </row>
    <row r="16" spans="1:20" ht="18.75" customHeight="1" thickBot="1" x14ac:dyDescent="0.2">
      <c r="A16" s="45">
        <v>24.2</v>
      </c>
      <c r="B16" s="88">
        <v>1013</v>
      </c>
      <c r="C16" s="82">
        <v>1006</v>
      </c>
      <c r="D16" s="84">
        <v>1020</v>
      </c>
      <c r="E16" s="88">
        <v>1010</v>
      </c>
      <c r="F16" s="107">
        <f t="shared" si="0"/>
        <v>1012.25</v>
      </c>
      <c r="G16" s="108"/>
      <c r="H16" s="109" t="s">
        <v>37</v>
      </c>
      <c r="I16" s="110"/>
    </row>
    <row r="17" spans="1:16" ht="20" customHeight="1" thickBot="1" x14ac:dyDescent="0.2">
      <c r="A17" s="111" t="s">
        <v>56</v>
      </c>
      <c r="B17" s="112"/>
      <c r="C17" s="112"/>
      <c r="D17" s="112"/>
      <c r="E17" s="112"/>
      <c r="F17" s="112"/>
      <c r="G17" s="112"/>
      <c r="H17" s="112"/>
      <c r="I17" s="113"/>
    </row>
    <row r="18" spans="1:16" ht="20" customHeight="1" thickBot="1" x14ac:dyDescent="0.2">
      <c r="A18" s="39" t="s">
        <v>9</v>
      </c>
      <c r="B18" s="40"/>
      <c r="C18" s="41" t="s">
        <v>46</v>
      </c>
      <c r="D18" s="42" t="s">
        <v>47</v>
      </c>
      <c r="E18" s="43"/>
      <c r="F18" s="70"/>
      <c r="G18" s="71"/>
      <c r="H18" s="35" t="s">
        <v>46</v>
      </c>
      <c r="I18" s="36" t="s">
        <v>47</v>
      </c>
    </row>
    <row r="19" spans="1:16" ht="20" customHeight="1" x14ac:dyDescent="0.15">
      <c r="A19" s="68" t="s">
        <v>10</v>
      </c>
      <c r="B19" s="69"/>
      <c r="C19" s="114">
        <v>164</v>
      </c>
      <c r="D19" s="115"/>
      <c r="E19" s="32" t="s">
        <v>40</v>
      </c>
      <c r="F19" s="33"/>
      <c r="G19" s="34"/>
      <c r="H19" s="46">
        <v>853</v>
      </c>
      <c r="I19" s="7">
        <v>817</v>
      </c>
    </row>
    <row r="20" spans="1:16" ht="20" customHeight="1" x14ac:dyDescent="0.15">
      <c r="A20" s="75" t="s">
        <v>11</v>
      </c>
      <c r="B20" s="4"/>
      <c r="C20" s="116">
        <v>1518</v>
      </c>
      <c r="D20" s="117"/>
      <c r="E20" s="4" t="s">
        <v>41</v>
      </c>
      <c r="F20" s="4"/>
      <c r="G20" s="31"/>
      <c r="H20" s="29">
        <v>815</v>
      </c>
      <c r="I20" s="14">
        <v>712</v>
      </c>
    </row>
    <row r="21" spans="1:16" ht="20" customHeight="1" x14ac:dyDescent="0.15">
      <c r="A21" s="76" t="s">
        <v>12</v>
      </c>
      <c r="B21" s="77"/>
      <c r="C21" s="2">
        <v>35</v>
      </c>
      <c r="D21" s="2">
        <v>17</v>
      </c>
      <c r="E21" s="4" t="s">
        <v>14</v>
      </c>
      <c r="F21" s="4"/>
      <c r="G21" s="31"/>
      <c r="H21" s="29">
        <v>675</v>
      </c>
      <c r="I21" s="14">
        <v>607</v>
      </c>
    </row>
    <row r="22" spans="1:16" ht="20" customHeight="1" x14ac:dyDescent="0.15">
      <c r="A22" s="76" t="s">
        <v>13</v>
      </c>
      <c r="B22" s="77"/>
      <c r="C22" s="30">
        <v>4</v>
      </c>
      <c r="D22" s="2">
        <v>5</v>
      </c>
      <c r="E22" s="4" t="s">
        <v>43</v>
      </c>
      <c r="F22" s="4"/>
      <c r="G22" s="31"/>
      <c r="H22" s="29">
        <v>487</v>
      </c>
      <c r="I22" s="14">
        <v>472</v>
      </c>
      <c r="J22" s="12">
        <v>340</v>
      </c>
    </row>
    <row r="23" spans="1:16" ht="20" customHeight="1" x14ac:dyDescent="0.15">
      <c r="A23" s="76" t="s">
        <v>15</v>
      </c>
      <c r="B23" s="77"/>
      <c r="C23" s="2">
        <v>3.6</v>
      </c>
      <c r="D23" s="2">
        <v>2.2000000000000002</v>
      </c>
      <c r="E23" s="4" t="s">
        <v>17</v>
      </c>
      <c r="F23" s="4"/>
      <c r="G23" s="31"/>
      <c r="H23" s="29">
        <v>350</v>
      </c>
      <c r="I23" s="14">
        <v>358</v>
      </c>
    </row>
    <row r="24" spans="1:16" ht="20" customHeight="1" x14ac:dyDescent="0.15">
      <c r="A24" s="76" t="s">
        <v>16</v>
      </c>
      <c r="B24" s="77"/>
      <c r="C24" s="2">
        <v>84</v>
      </c>
      <c r="D24" s="2">
        <v>92</v>
      </c>
      <c r="E24" s="91" t="s">
        <v>18</v>
      </c>
      <c r="F24" s="92"/>
      <c r="G24" s="93"/>
      <c r="H24" s="97">
        <v>137</v>
      </c>
      <c r="I24" s="99">
        <v>140</v>
      </c>
    </row>
    <row r="25" spans="1:16" ht="20" customHeight="1" thickBot="1" x14ac:dyDescent="0.2">
      <c r="A25" s="78" t="s">
        <v>48</v>
      </c>
      <c r="B25" s="79"/>
      <c r="C25" s="101">
        <v>768</v>
      </c>
      <c r="D25" s="102"/>
      <c r="E25" s="94"/>
      <c r="F25" s="95"/>
      <c r="G25" s="96"/>
      <c r="H25" s="98"/>
      <c r="I25" s="100"/>
    </row>
    <row r="26" spans="1:16" ht="20" customHeight="1" thickBot="1" x14ac:dyDescent="0.2">
      <c r="A26" s="72" t="s">
        <v>49</v>
      </c>
      <c r="B26" s="73"/>
      <c r="C26" s="73"/>
      <c r="D26" s="73"/>
      <c r="E26" s="73"/>
      <c r="F26" s="73"/>
      <c r="G26" s="73"/>
      <c r="H26" s="73"/>
      <c r="I26" s="74"/>
    </row>
    <row r="27" spans="1:16" ht="20" customHeight="1" x14ac:dyDescent="0.15">
      <c r="A27" s="5" t="s">
        <v>50</v>
      </c>
      <c r="B27" s="6" t="s">
        <v>19</v>
      </c>
      <c r="C27" s="6" t="s">
        <v>20</v>
      </c>
      <c r="D27" s="6" t="s">
        <v>21</v>
      </c>
      <c r="E27" s="6" t="s">
        <v>22</v>
      </c>
      <c r="F27" s="6" t="s">
        <v>23</v>
      </c>
      <c r="G27" s="6" t="s">
        <v>24</v>
      </c>
      <c r="H27" s="6" t="s">
        <v>38</v>
      </c>
      <c r="I27" s="7" t="s">
        <v>39</v>
      </c>
    </row>
    <row r="28" spans="1:16" ht="20" customHeight="1" x14ac:dyDescent="0.15">
      <c r="A28" s="8" t="s">
        <v>25</v>
      </c>
      <c r="B28" s="28">
        <v>61</v>
      </c>
      <c r="C28" s="3">
        <v>59</v>
      </c>
      <c r="D28" s="3"/>
      <c r="E28" s="3">
        <v>60</v>
      </c>
      <c r="F28" s="3">
        <v>60</v>
      </c>
      <c r="G28" s="3">
        <v>57</v>
      </c>
      <c r="H28" s="3">
        <v>58</v>
      </c>
      <c r="I28" s="26"/>
    </row>
    <row r="29" spans="1:16" ht="20" customHeight="1" x14ac:dyDescent="0.15">
      <c r="A29" s="9" t="s">
        <v>26</v>
      </c>
      <c r="B29" s="1">
        <v>115</v>
      </c>
      <c r="C29" s="1">
        <v>115</v>
      </c>
      <c r="D29" s="1"/>
      <c r="E29" s="1">
        <v>110</v>
      </c>
      <c r="F29" s="1">
        <v>114</v>
      </c>
      <c r="G29" s="1">
        <v>114</v>
      </c>
      <c r="H29" s="1">
        <v>114</v>
      </c>
      <c r="I29" s="14"/>
      <c r="L29" s="12" t="s">
        <v>44</v>
      </c>
      <c r="M29" s="12" t="s">
        <v>44</v>
      </c>
      <c r="N29" s="12" t="s">
        <v>44</v>
      </c>
    </row>
    <row r="30" spans="1:16" ht="20" customHeight="1" x14ac:dyDescent="0.15">
      <c r="A30" s="9" t="s">
        <v>27</v>
      </c>
      <c r="B30" s="1">
        <v>13</v>
      </c>
      <c r="C30" s="1">
        <v>-2</v>
      </c>
      <c r="D30" s="1"/>
      <c r="E30" s="1">
        <v>363</v>
      </c>
      <c r="F30" s="1">
        <v>0</v>
      </c>
      <c r="G30" s="1">
        <v>142</v>
      </c>
      <c r="H30" s="1">
        <v>13</v>
      </c>
      <c r="I30" s="14"/>
      <c r="K30" s="12" t="s">
        <v>44</v>
      </c>
      <c r="L30" s="12" t="s">
        <v>44</v>
      </c>
      <c r="M30" s="12" t="s">
        <v>44</v>
      </c>
      <c r="N30" s="12" t="s">
        <v>44</v>
      </c>
      <c r="P30" s="12" t="s">
        <v>44</v>
      </c>
    </row>
    <row r="31" spans="1:16" ht="20" customHeight="1" x14ac:dyDescent="0.15">
      <c r="A31" s="9" t="s">
        <v>28</v>
      </c>
      <c r="B31" s="1">
        <v>65</v>
      </c>
      <c r="C31" s="1">
        <v>71</v>
      </c>
      <c r="D31" s="1"/>
      <c r="E31" s="1">
        <v>79</v>
      </c>
      <c r="F31" s="1">
        <v>70</v>
      </c>
      <c r="G31" s="1">
        <v>67</v>
      </c>
      <c r="H31" s="1">
        <v>69</v>
      </c>
      <c r="I31" s="14"/>
      <c r="K31" s="12" t="s">
        <v>44</v>
      </c>
      <c r="L31" s="12" t="s">
        <v>44</v>
      </c>
      <c r="M31" s="12" t="s">
        <v>44</v>
      </c>
      <c r="N31" s="12" t="s">
        <v>44</v>
      </c>
    </row>
    <row r="32" spans="1:16" ht="22.5" customHeight="1" thickBot="1" x14ac:dyDescent="0.2">
      <c r="A32" s="10" t="s">
        <v>29</v>
      </c>
      <c r="B32" s="11">
        <v>62</v>
      </c>
      <c r="C32" s="11">
        <v>54</v>
      </c>
      <c r="D32" s="11"/>
      <c r="E32" s="11">
        <v>58</v>
      </c>
      <c r="F32" s="11">
        <v>59</v>
      </c>
      <c r="G32" s="11">
        <v>54</v>
      </c>
      <c r="H32" s="11">
        <v>56</v>
      </c>
      <c r="I32" s="27"/>
      <c r="J32" s="18" t="s">
        <v>44</v>
      </c>
      <c r="K32" s="18"/>
      <c r="L32" s="18" t="s">
        <v>44</v>
      </c>
      <c r="M32" s="12" t="s">
        <v>44</v>
      </c>
      <c r="N32" s="12" t="s">
        <v>44</v>
      </c>
      <c r="O32" s="12" t="s">
        <v>44</v>
      </c>
    </row>
    <row r="33" spans="1:14" ht="22.5" customHeight="1" x14ac:dyDescent="0.2">
      <c r="A33"/>
      <c r="B33"/>
      <c r="C33" s="15"/>
      <c r="D33" s="16"/>
      <c r="E33" s="17"/>
      <c r="F33" s="17"/>
      <c r="G33"/>
      <c r="H33"/>
      <c r="I33" s="18" t="s">
        <v>44</v>
      </c>
      <c r="J33" s="18"/>
      <c r="K33" s="18"/>
      <c r="L33" s="18" t="s">
        <v>44</v>
      </c>
      <c r="M33" s="12" t="s">
        <v>44</v>
      </c>
      <c r="N33" s="12" t="s">
        <v>44</v>
      </c>
    </row>
    <row r="34" spans="1:14" ht="22.5" customHeight="1" x14ac:dyDescent="0.2">
      <c r="A34" s="19"/>
      <c r="B34" s="19"/>
      <c r="C34" s="19"/>
      <c r="D34" s="19"/>
      <c r="E34" s="19"/>
      <c r="F34" s="19"/>
      <c r="G34" s="19"/>
      <c r="H34" s="19"/>
      <c r="I34" s="18"/>
      <c r="J34" s="20"/>
      <c r="K34" s="20"/>
      <c r="L34" s="20"/>
      <c r="M34" s="12" t="s">
        <v>44</v>
      </c>
      <c r="N34" s="12" t="s">
        <v>44</v>
      </c>
    </row>
    <row r="35" spans="1:14" ht="22.5" customHeight="1" x14ac:dyDescent="0.15">
      <c r="I35" s="20"/>
      <c r="J35" s="20"/>
      <c r="K35" s="20"/>
      <c r="L35" s="20"/>
    </row>
    <row r="36" spans="1:14" ht="19.5" customHeight="1" x14ac:dyDescent="0.2">
      <c r="I36" s="20"/>
      <c r="J36"/>
    </row>
    <row r="37" spans="1:14" ht="54.75" customHeight="1" x14ac:dyDescent="0.2">
      <c r="I37"/>
      <c r="J37"/>
    </row>
    <row r="38" spans="1:14" ht="16.5" customHeight="1" x14ac:dyDescent="0.2">
      <c r="I38" t="s">
        <v>44</v>
      </c>
      <c r="J38" s="21"/>
    </row>
    <row r="39" spans="1:14" ht="18" x14ac:dyDescent="0.2">
      <c r="I39" s="19"/>
    </row>
  </sheetData>
  <mergeCells count="27">
    <mergeCell ref="A1:I1"/>
    <mergeCell ref="A6:I6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E24:G25"/>
    <mergeCell ref="H24:H25"/>
    <mergeCell ref="I24:I25"/>
    <mergeCell ref="C25:D25"/>
    <mergeCell ref="F13:G13"/>
    <mergeCell ref="H13:I13"/>
    <mergeCell ref="F14:G14"/>
    <mergeCell ref="H14:I14"/>
    <mergeCell ref="F15:G15"/>
    <mergeCell ref="H15:I15"/>
    <mergeCell ref="F16:G16"/>
    <mergeCell ref="H16:I16"/>
    <mergeCell ref="A17:I17"/>
    <mergeCell ref="C19:D19"/>
    <mergeCell ref="C20:D20"/>
  </mergeCells>
  <pageMargins left="1.1811023622047245" right="0.23622047244094491" top="0.51181102362204722" bottom="0.23622047244094491" header="0.23622047244094491" footer="0.15748031496062992"/>
  <pageSetup paperSize="9" scale="95" orientation="portrait" r:id="rId1"/>
  <headerFooter alignWithMargins="0"/>
  <rowBreaks count="1" manualBreakCount="1">
    <brk id="17" max="6" man="1"/>
  </rowBreaks>
  <ignoredErrors>
    <ignoredError sqref="F8:G16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18.03.26</vt:lpstr>
      <vt:lpstr>'18.03.26'!Print_Area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 yeul</dc:creator>
  <cp:lastModifiedBy>Anirudh Pandit</cp:lastModifiedBy>
  <cp:lastPrinted>2025-11-20T05:15:13Z</cp:lastPrinted>
  <dcterms:created xsi:type="dcterms:W3CDTF">2015-06-05T18:17:20Z</dcterms:created>
  <dcterms:modified xsi:type="dcterms:W3CDTF">2026-04-22T09:15:28Z</dcterms:modified>
</cp:coreProperties>
</file>